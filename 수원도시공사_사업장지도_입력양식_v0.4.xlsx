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안내" sheetId="1" state="visible" r:id="rId3"/>
    <sheet name="사업장목록" sheetId="2" state="visible" r:id="rId4"/>
    <sheet name="공영주차장" sheetId="3" state="visible" r:id="rId5"/>
    <sheet name="진행현황" sheetId="4" state="visible" r:id="rId6"/>
    <sheet name="분류코드" sheetId="5" state="visible" r:id="rId7"/>
    <sheet name="변경내역" sheetId="6" state="visible" r:id="rId8"/>
    <sheet name="출처목록" sheetId="7" state="visible" r:id="rId9"/>
  </sheets>
  <definedNames>
    <definedName function="false" hidden="true" localSheetId="2" name="_xlnm._FilterDatabase" vbProcedure="false">공영주차장!$A$1:$Q$70</definedName>
    <definedName function="false" hidden="true" localSheetId="1" name="_xlnm._FilterDatabase" vbProcedure="false">사업장목록!$A$1:$AA$151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Noto Sans CJK SC"/>
            <family val="2"/>
          </rPr>
          <t xml:space="preserve">출처 간 번호가 다르면 비고에 모두 적고 검증 상태를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확인 필요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로 둡니다</t>
        </r>
        <r>
          <rPr>
            <sz val="10"/>
            <rFont val="Arial"/>
            <family val="2"/>
          </rPr>
          <t xml:space="preserve">.</t>
        </r>
      </text>
    </comment>
    <comment ref="S1" authorId="0">
      <text>
        <r>
          <rPr>
            <sz val="10"/>
            <rFont val="Noto Sans CJK SC"/>
            <family val="2"/>
          </rPr>
          <t xml:space="preserve">일러스트 지도 위 좌표</t>
        </r>
        <r>
          <rPr>
            <sz val="10"/>
            <rFont val="Arial"/>
            <family val="2"/>
          </rPr>
          <t xml:space="preserve">(0~100). </t>
        </r>
        <r>
          <rPr>
            <sz val="10"/>
            <rFont val="Noto Sans CJK SC"/>
            <family val="2"/>
          </rPr>
          <t xml:space="preserve">실제 위도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경도가 아닙니다</t>
        </r>
        <r>
          <rPr>
            <sz val="10"/>
            <rFont val="Arial"/>
            <family val="2"/>
          </rPr>
          <t xml:space="preserve">.</t>
        </r>
      </text>
    </comment>
    <comment ref="Y1" authorId="0">
      <text>
        <r>
          <rPr>
            <sz val="10"/>
            <rFont val="Noto Sans CJK SC"/>
            <family val="2"/>
          </rPr>
          <t xml:space="preserve">실명 금지</t>
        </r>
        <r>
          <rPr>
            <sz val="10"/>
            <rFont val="Arial"/>
            <family val="2"/>
          </rPr>
          <t xml:space="preserve">. '</t>
        </r>
        <r>
          <rPr>
            <sz val="10"/>
            <rFont val="Noto Sans CJK SC"/>
            <family val="2"/>
          </rPr>
          <t xml:space="preserve">담당자 </t>
        </r>
        <r>
          <rPr>
            <sz val="10"/>
            <rFont val="Arial"/>
            <family val="2"/>
          </rPr>
          <t xml:space="preserve">A/B' </t>
        </r>
        <r>
          <rPr>
            <sz val="10"/>
            <rFont val="Noto Sans CJK SC"/>
            <family val="2"/>
          </rPr>
          <t xml:space="preserve">또는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직책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역할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 xml:space="preserve">형식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<sst xmlns="http://schemas.openxmlformats.org/spreadsheetml/2006/main" count="1297" uniqueCount="585">
  <si>
    <t xml:space="preserve">수원도시공사 사업장 안내 지도 — 사업장 정보 입력 양식</t>
  </si>
  <si>
    <t xml:space="preserve">문서 버전: v0.4 / 작성일: 2026-10-29 / 기준 자료: 수원도시공사 공식 홈페이지(사업현황·시설별 홈페이지·공영주차장 통합홈페이지)</t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</si>
  <si>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시트 구성</t>
    </r>
  </si>
  <si>
    <t xml:space="preserve">사업장목록</t>
  </si>
  <si>
    <t xml:space="preserve">시설·서비스 1건당 1행. 지도 마커와 하단 패널에 표시되는 원본 데이터입니다.</t>
  </si>
  <si>
    <t xml:space="preserve">공영주차장</t>
  </si>
  <si>
    <t xml:space="preserve">공영주차장 통합홈페이지에 등록된 69개소(위도·경도 포함). 지도의 '주차하기' 레이어 원본입니다.</t>
  </si>
  <si>
    <t xml:space="preserve">진행현황</t>
  </si>
  <si>
    <t xml:space="preserve">검증 상태·분류·주차장 구분별 건수를 자동 집계합니다. 직접 수정하지 않습니다.</t>
  </si>
  <si>
    <t xml:space="preserve">분류코드</t>
  </si>
  <si>
    <t xml:space="preserve">드롭다운 선택값을 관리합니다. 분류를 추가하려면 이 시트에 행을 추가합니다.</t>
  </si>
  <si>
    <t xml:space="preserve">변경내역</t>
  </si>
  <si>
    <r>
      <rPr>
        <sz val="10"/>
        <color rgb="FF000000"/>
        <rFont val="맑은 고딕"/>
        <family val="0"/>
        <charset val="1"/>
      </rPr>
      <t xml:space="preserve">v0.1 → v0.2</t>
    </r>
    <r>
      <rPr>
        <sz val="10"/>
        <color rgb="FF000000"/>
        <rFont val="Noto Sans CJK SC"/>
        <family val="2"/>
      </rPr>
      <t xml:space="preserve">에서 바뀐 내용입니다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</si>
  <si>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출처목록</t>
  </si>
  <si>
    <t xml:space="preserve">입력값의 근거 자료와 확인일입니다.</t>
  </si>
  <si>
    <r>
      <rPr>
        <b val="true"/>
        <sz val="11"/>
        <color rgb="FFFFFFFF"/>
        <rFont val="맑은 고딕"/>
        <family val="0"/>
        <charset val="1"/>
      </rPr>
      <t xml:space="preserve">2. </t>
    </r>
    <r>
      <rPr>
        <b val="true"/>
        <sz val="11"/>
        <color rgb="FFFFFFFF"/>
        <rFont val="Noto Sans CJK SC"/>
        <family val="2"/>
      </rPr>
      <t xml:space="preserve">입력 규칙</t>
    </r>
  </si>
  <si>
    <t xml:space="preserve">입력 셀</t>
  </si>
  <si>
    <t xml:space="preserve">연노랑 셀이 입력 대상입니다. 진행현황 시트의 수식 셀은 수정하지 않습니다.</t>
  </si>
  <si>
    <t xml:space="preserve">예시 행</t>
  </si>
  <si>
    <t xml:space="preserve">사업장목록 SUDC-001(장안구민회관) 행을 작성 예시로 참고합니다.</t>
  </si>
  <si>
    <t xml:space="preserve">날짜·전화</t>
  </si>
  <si>
    <t xml:space="preserve">날짜는 YYYY-MM-DD, 전화번호는 031-000-0000 형식으로 통일합니다.</t>
  </si>
  <si>
    <t xml:space="preserve">하는 일</t>
  </si>
  <si>
    <t xml:space="preserve">시민이 읽는 한 줄 소개(40자 내외). 사전 입력 문구는 각 시설 홈페이지 메뉴 구성을 근거로 작성한 초안이므로 시설 담당 부서 확인이 필요합니다.</t>
  </si>
  <si>
    <t xml:space="preserve">지도 표시 방식</t>
  </si>
  <si>
    <t xml:space="preserve">시설 마커 = 지도에 건물로 표시 / 레이어 = 개소가 많아 켜고 끄는 마커 묶음 / 서비스 안내 = 방문 시설이 아니어서 패널 카드로만 안내</t>
  </si>
  <si>
    <t xml:space="preserve">일러스트 등급</t>
  </si>
  <si>
    <r>
      <rPr>
        <sz val="10"/>
        <color rgb="FF000000"/>
        <rFont val="맑은 고딕"/>
        <family val="0"/>
        <charset val="1"/>
      </rPr>
      <t xml:space="preserve">A = </t>
    </r>
    <r>
      <rPr>
        <sz val="10"/>
        <color rgb="FF000000"/>
        <rFont val="Noto Sans CJK SC"/>
        <family val="2"/>
      </rPr>
      <t xml:space="preserve">개별 </t>
    </r>
    <r>
      <rPr>
        <sz val="10"/>
        <color rgb="FF000000"/>
        <rFont val="맑은 고딕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건물 일러스트 </t>
    </r>
    <r>
      <rPr>
        <sz val="10"/>
        <color rgb="FF000000"/>
        <rFont val="맑은 고딕"/>
        <family val="0"/>
        <charset val="1"/>
      </rPr>
      <t xml:space="preserve">/ B = </t>
    </r>
    <r>
      <rPr>
        <sz val="10"/>
        <color rgb="FF000000"/>
        <rFont val="Noto Sans CJK SC"/>
        <family val="2"/>
      </rPr>
      <t xml:space="preserve">공통 블록 아이콘 </t>
    </r>
    <r>
      <rPr>
        <sz val="10"/>
        <color rgb="FF000000"/>
        <rFont val="맑은 고딕"/>
        <family val="0"/>
        <charset val="1"/>
      </rPr>
      <t xml:space="preserve">/ - = </t>
    </r>
    <r>
      <rPr>
        <sz val="10"/>
        <color rgb="FF000000"/>
        <rFont val="Noto Sans CJK SC"/>
        <family val="2"/>
      </rPr>
      <t xml:space="preserve">지도에 그리지 않음</t>
    </r>
  </si>
  <si>
    <t xml:space="preserve">지도 위치 X·Y</t>
  </si>
  <si>
    <t xml:space="preserve">일러스트 지도 위 배치 좌표(0~100, 왼쪽 위 기준). 일러스트 확정 후 입력합니다. 실제 위도·경도와는 다릅니다.</t>
  </si>
  <si>
    <t xml:space="preserve">담당자 표기</t>
  </si>
  <si>
    <t xml:space="preserve">실명 대신 '담당자 A/B' 또는 '직책+역할' 형식으로 입력합니다.</t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</si>
  <si>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검증 상태 기준</t>
    </r>
  </si>
  <si>
    <t xml:space="preserve">확인완료</t>
  </si>
  <si>
    <t xml:space="preserve">공사 내부 자료 또는 시설 담당 부서로 사실 확인을 마친 상태</t>
  </si>
  <si>
    <t xml:space="preserve">홈페이지 확인</t>
  </si>
  <si>
    <t xml:space="preserve">공사 공식 홈페이지 값과 일치하며 다른 출처와 상충이 없는 상태 (내부 확인 전)</t>
  </si>
  <si>
    <t xml:space="preserve">확인 필요</t>
  </si>
  <si>
    <t xml:space="preserve">출처 간 값이 다르거나(두 값 병기), 공사 홈페이지 외 출처만 있는 상태</t>
  </si>
  <si>
    <t xml:space="preserve">출처 미확인</t>
  </si>
  <si>
    <t xml:space="preserve">값은 있으나 근거 문서를 특정할 수 없는 상태</t>
  </si>
  <si>
    <t xml:space="preserve">미입력</t>
  </si>
  <si>
    <t xml:space="preserve">아직 값이 없는 상태</t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</si>
  <si>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주의사항</t>
    </r>
  </si>
  <si>
    <t xml:space="preserve">주차장 면수</t>
  </si>
  <si>
    <t xml:space="preserve">공영주차장 시트의 면수·충전기 수는 2026-10-29 통합홈페이지 조회값입니다. 운영 중 바뀔 수 있습니다.</t>
  </si>
  <si>
    <t xml:space="preserve">좌표 정밀도</t>
  </si>
  <si>
    <t xml:space="preserve">소수점 4자리 이하로 등록된 좌표는 실제 위치와 수십 m 이상 차이 날 수 있어 '확인 필요'로 표시했습니다.</t>
  </si>
  <si>
    <t xml:space="preserve">지도 범위</t>
  </si>
  <si>
    <t xml:space="preserve">화산체육공원은 화성시에 있어 수원시 일러스트 지도 범위 밖입니다. 표시 방식 결정이 필요합니다.</t>
  </si>
  <si>
    <t xml:space="preserve">코드</t>
  </si>
  <si>
    <t xml:space="preserve">사업장명</t>
  </si>
  <si>
    <t xml:space="preserve">공사 공식 분류</t>
  </si>
  <si>
    <t xml:space="preserve">생활목적 분류</t>
  </si>
  <si>
    <t xml:space="preserve">세부 유형</t>
  </si>
  <si>
    <t xml:space="preserve">구</t>
  </si>
  <si>
    <t xml:space="preserve">도로명주소</t>
  </si>
  <si>
    <t xml:space="preserve">우편번호</t>
  </si>
  <si>
    <t xml:space="preserve">대표전화</t>
  </si>
  <si>
    <t xml:space="preserve">보조 연락처</t>
  </si>
  <si>
    <t xml:space="preserve">운영시간</t>
  </si>
  <si>
    <t xml:space="preserve">휴관일</t>
  </si>
  <si>
    <t xml:space="preserve">하는 일(한 줄 소개)</t>
  </si>
  <si>
    <t xml:space="preserve">주요 시설·프로그램</t>
  </si>
  <si>
    <t xml:space="preserve">홈페이지 URL</t>
  </si>
  <si>
    <t xml:space="preserve">카카오맵 링크</t>
  </si>
  <si>
    <t xml:space="preserve">지도 위치 X</t>
  </si>
  <si>
    <t xml:space="preserve">지도 위치 Y</t>
  </si>
  <si>
    <t xml:space="preserve">사진 확보</t>
  </si>
  <si>
    <t xml:space="preserve">데이터 출처</t>
  </si>
  <si>
    <t xml:space="preserve">자료 시점</t>
  </si>
  <si>
    <t xml:space="preserve">검증 상태</t>
  </si>
  <si>
    <t xml:space="preserve">입력 담당</t>
  </si>
  <si>
    <t xml:space="preserve">최종 수정일</t>
  </si>
  <si>
    <t xml:space="preserve">비고</t>
  </si>
  <si>
    <t xml:space="preserve">SUDC-001</t>
  </si>
  <si>
    <t xml:space="preserve">장안구민회관</t>
  </si>
  <si>
    <t xml:space="preserve">문화·체육</t>
  </si>
  <si>
    <t xml:space="preserve">운동·배우기</t>
  </si>
  <si>
    <t xml:space="preserve">구민회관(평생교육·체육·공연)</t>
  </si>
  <si>
    <t xml:space="preserve">시설 마커</t>
  </si>
  <si>
    <t xml:space="preserve">장안구</t>
  </si>
  <si>
    <t xml:space="preserve">경기도 수원시 장안구 송원로 101 (조원동)</t>
  </si>
  <si>
    <t xml:space="preserve">16295</t>
  </si>
  <si>
    <t xml:space="preserve">031-228-3001~3003</t>
  </si>
  <si>
    <t xml:space="preserve">ARS 031-228-3000</t>
  </si>
  <si>
    <r>
      <rPr>
        <sz val="10"/>
        <color rgb="FF000000"/>
        <rFont val="Noto Sans CJK SC"/>
        <family val="2"/>
      </rPr>
      <t xml:space="preserve">평일 </t>
    </r>
    <r>
      <rPr>
        <sz val="10"/>
        <color rgb="FF000000"/>
        <rFont val="맑은 고딕"/>
        <family val="0"/>
        <charset val="1"/>
      </rPr>
      <t xml:space="preserve">06:00~22:00 / </t>
    </r>
    <r>
      <rPr>
        <sz val="10"/>
        <color rgb="FF000000"/>
        <rFont val="Noto Sans CJK SC"/>
        <family val="2"/>
      </rPr>
      <t xml:space="preserve">토 </t>
    </r>
    <r>
      <rPr>
        <sz val="10"/>
        <color rgb="FF000000"/>
        <rFont val="맑은 고딕"/>
        <family val="0"/>
        <charset val="1"/>
      </rPr>
      <t xml:space="preserve">09:00~18:00 / 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10:00~17:00</t>
    </r>
  </si>
  <si>
    <r>
      <rPr>
        <sz val="10"/>
        <color rgb="FF000000"/>
        <rFont val="Noto Sans CJK SC"/>
        <family val="2"/>
      </rPr>
      <t xml:space="preserve">둘째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넷째 일요일</t>
    </r>
  </si>
  <si>
    <t xml:space="preserve">평생교육 강좌와 수영·헬스·스쿼시, 공연·전시를 운영하는 구민회관</t>
  </si>
  <si>
    <t xml:space="preserve">평생교육·문화교육 강좌, 수영장(푸르내수영장)·헬스·스쿼시, 한누리아트홀 공연·전시, 대관, 늘봄어르신</t>
  </si>
  <si>
    <t xml:space="preserve">https://www.suwonudc.co.kr/jacc/mainPage.do</t>
  </si>
  <si>
    <t xml:space="preserve">http://place.map.kakao.com/8504713</t>
  </si>
  <si>
    <t xml:space="preserve">A</t>
  </si>
  <si>
    <t xml:space="preserve">공사 홈페이지(시설 홈페이지 하단·사업현황), 카카오맵, 기획팀장 확인(2026-10-29), 운영시간·휴관일: 기획팀장 확인(2026-10-29)</t>
  </si>
  <si>
    <t xml:space="preserve">2026-10-29</t>
  </si>
  <si>
    <t xml:space="preserve">담당자 A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</si>
  <si>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작성 예시 행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대표전화 확정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기획팀장 확인 </t>
    </r>
    <r>
      <rPr>
        <sz val="10"/>
        <color rgb="FF000000"/>
        <rFont val="맑은 고딕"/>
        <family val="0"/>
        <charset val="1"/>
      </rPr>
      <t xml:space="preserve">2026-10-29). </t>
    </r>
    <r>
      <rPr>
        <sz val="10"/>
        <color rgb="FF000000"/>
        <rFont val="Noto Sans CJK SC"/>
        <family val="2"/>
      </rPr>
      <t xml:space="preserve">수원시 자료의 </t>
    </r>
    <r>
      <rPr>
        <sz val="10"/>
        <color rgb="FF000000"/>
        <rFont val="맑은 고딕"/>
        <family val="0"/>
        <charset val="1"/>
      </rPr>
      <t xml:space="preserve">031-240-3014·031-228-3014</t>
    </r>
    <r>
      <rPr>
        <sz val="10"/>
        <color rgb="FF000000"/>
        <rFont val="Noto Sans CJK SC"/>
        <family val="2"/>
      </rPr>
      <t xml:space="preserve">는 사용하지 않음</t>
    </r>
  </si>
  <si>
    <t xml:space="preserve">SUDC-002</t>
  </si>
  <si>
    <t xml:space="preserve">수원종합운동장</t>
  </si>
  <si>
    <t xml:space="preserve">종합운동장</t>
  </si>
  <si>
    <t xml:space="preserve">경기도 수원시 장안구 경수대로 893</t>
  </si>
  <si>
    <t xml:space="preserve">16308</t>
  </si>
  <si>
    <r>
      <rPr>
        <sz val="10"/>
        <color rgb="FF000000"/>
        <rFont val="맑은 고딕"/>
        <family val="0"/>
        <charset val="1"/>
      </rPr>
      <t xml:space="preserve">031-228-2700 (</t>
    </r>
    <r>
      <rPr>
        <sz val="10"/>
        <color rgb="FF000000"/>
        <rFont val="Noto Sans CJK SC"/>
        <family val="2"/>
      </rPr>
      <t xml:space="preserve">수원체육관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</si>
  <si>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국민체육센터 031-228-2701</t>
  </si>
  <si>
    <r>
      <rPr>
        <sz val="10"/>
        <color rgb="FF000000"/>
        <rFont val="Noto Sans CJK SC"/>
        <family val="2"/>
      </rPr>
      <t xml:space="preserve">경기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행사별 상이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홈페이지 월간일정표 참고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</si>
  <si>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경기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행사별 상이</t>
    </r>
  </si>
  <si>
    <t xml:space="preserve">주경기장·야구장·체육관 등 경기장과 국민체육센터를 운영하는 종합운동장</t>
  </si>
  <si>
    <t xml:space="preserve">주경기장, 야구장, 수원체육관, 국민체육센터, 인조잔디구장, 야외농구장, 리틀야구장, 대관</t>
  </si>
  <si>
    <t xml:space="preserve">https://www.suwonudc.co.kr/suwonsc/mainPage.do</t>
  </si>
  <si>
    <t xml:space="preserve">http://place.map.kakao.com/7958665</t>
  </si>
  <si>
    <t xml:space="preserve">국민체육센터 전화 031-228-2701로 확정(기획팀장 확인 2026-10-29). 공영주차장 주차관리팀 사무실도 같은 주소(주경기장 1층)</t>
  </si>
  <si>
    <t xml:space="preserve">SUDC-003</t>
  </si>
  <si>
    <t xml:space="preserve">서수원칠보체육관</t>
  </si>
  <si>
    <t xml:space="preserve">체육관·스포츠센터</t>
  </si>
  <si>
    <t xml:space="preserve">권선구</t>
  </si>
  <si>
    <t xml:space="preserve">경기도 수원시 권선구 서수원로577번길 171</t>
  </si>
  <si>
    <t xml:space="preserve">16389</t>
  </si>
  <si>
    <t xml:space="preserve">031-228-2600</t>
  </si>
  <si>
    <t xml:space="preserve">주중 06:10~21:30 / 주말 09:10~17:40</t>
  </si>
  <si>
    <t xml:space="preserve">둘째·넷째 일요일, 법정공휴일, 공사 지정 휴무일</t>
  </si>
  <si>
    <t xml:space="preserve">실내체육관 대관과 헬스·요가·GX·탁구 스포츠센터, 야외 체육시설을 운영</t>
  </si>
  <si>
    <t xml:space="preserve">실내체육관, 헬스장, 요가전용실, GX룸, 탁구장, 인조잔디구장, 야외농구장, 야외배드민턴장, 게이트볼장, 파크골프장</t>
  </si>
  <si>
    <t xml:space="preserve">https://www.suwonudc.co.kr/suwonsc2/mainPage.do</t>
  </si>
  <si>
    <t xml:space="preserve">http://place.map.kakao.com/26174144</t>
  </si>
  <si>
    <t xml:space="preserve">공사 홈페이지(시설 홈페이지 하단·사업현황), 카카오맵, 수원시 통합예약(탁구장), 기획팀장 확인(2026-10-29)</t>
  </si>
  <si>
    <t xml:space="preserve">대표전화 031-228-2600으로 확정(기획팀장 확인 2026-10-29). 운영시간·휴관일은 수원시 통합예약 탁구장 안내 기준</t>
  </si>
  <si>
    <t xml:space="preserve">SUDC-004</t>
  </si>
  <si>
    <t xml:space="preserve">광교웰빙국민체육센터</t>
  </si>
  <si>
    <t xml:space="preserve">국민체육센터</t>
  </si>
  <si>
    <t xml:space="preserve">영통구</t>
  </si>
  <si>
    <t xml:space="preserve">경기도 수원시 영통구 웰빙타운로 71 (이의동)</t>
  </si>
  <si>
    <t xml:space="preserve">16222</t>
  </si>
  <si>
    <t xml:space="preserve">031-228-3200~3</t>
  </si>
  <si>
    <t xml:space="preserve">시설 홈페이지 참고</t>
  </si>
  <si>
    <t xml:space="preserve">수영장과 GX룸·다목적체육관·당구장을 운영하는 국민체육센터</t>
  </si>
  <si>
    <t xml:space="preserve">수영장, GX룸, 다목적체육관, 다목적구장, 당구장, 인터넷 수강신청</t>
  </si>
  <si>
    <t xml:space="preserve">https://www.suwonudc.co.kr/suwonsc3/mainPage.do</t>
  </si>
  <si>
    <t xml:space="preserve">http://place.map.kakao.com/338452642</t>
  </si>
  <si>
    <t xml:space="preserve">공사 홈페이지(시설 홈페이지 하단·사업현황), 카카오맵, 수원시 체육시설 현황, 기획팀장 확인(2026-10-29), 운영시간·휴관일: 기획팀장 확인(2026-10-29)</t>
  </si>
  <si>
    <t xml:space="preserve">주소·전화 확정(기획팀장 확인 2026-10-29). 내부 호칭 '웰빙스포츠센터'와 같은 시설</t>
  </si>
  <si>
    <t xml:space="preserve">SUDC-005</t>
  </si>
  <si>
    <t xml:space="preserve">화산체육공원</t>
  </si>
  <si>
    <t xml:space="preserve">체육공원(골프연습장·Par-3)</t>
  </si>
  <si>
    <t xml:space="preserve">수원시 외</t>
  </si>
  <si>
    <t xml:space="preserve">경기도 화성시 병점구 태안로 263 (수원생태수자원센터 내)</t>
  </si>
  <si>
    <t xml:space="preserve">18358</t>
  </si>
  <si>
    <t xml:space="preserve">031-228-3100</t>
  </si>
  <si>
    <r>
      <rPr>
        <sz val="10"/>
        <color rgb="FF000000"/>
        <rFont val="맑은 고딕"/>
        <family val="0"/>
        <charset val="1"/>
      </rPr>
      <t xml:space="preserve">Par-3 9</t>
    </r>
    <r>
      <rPr>
        <sz val="10"/>
        <color rgb="FF000000"/>
        <rFont val="Noto Sans CJK SC"/>
        <family val="2"/>
      </rPr>
      <t xml:space="preserve">홀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하절기</t>
    </r>
    <r>
      <rPr>
        <sz val="10"/>
        <color rgb="FF000000"/>
        <rFont val="맑은 고딕"/>
        <family val="0"/>
        <charset val="1"/>
      </rPr>
      <t xml:space="preserve">(4~10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 07:00~18:00 / </t>
    </r>
    <r>
      <rPr>
        <sz val="10"/>
        <color rgb="FF000000"/>
        <rFont val="Noto Sans CJK SC"/>
        <family val="2"/>
      </rPr>
      <t xml:space="preserve">동절기</t>
    </r>
    <r>
      <rPr>
        <sz val="10"/>
        <color rgb="FF000000"/>
        <rFont val="맑은 고딕"/>
        <family val="0"/>
        <charset val="1"/>
      </rPr>
      <t xml:space="preserve">(11~3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 08:00~17:00</t>
    </r>
  </si>
  <si>
    <t xml:space="preserve">매월 마지막 월요일</t>
  </si>
  <si>
    <t xml:space="preserve">골프연습장·Par-3 9홀과 구기·인라인 시설을 갖춘 체육공원</t>
  </si>
  <si>
    <t xml:space="preserve">골프연습장, Par-3 9홀, 골프아카데미, 인조잔디구장, 테니스장, 농구장, 족구장, 인라인스케이트장, 생태공원</t>
  </si>
  <si>
    <t xml:space="preserve">https://www.suwonudc.co.kr/hwasanap/mainPage.do</t>
  </si>
  <si>
    <t xml:space="preserve">http://place.map.kakao.com/11495451</t>
  </si>
  <si>
    <t xml:space="preserve">공사 홈페이지(시설 홈페이지 하단·사업현황), 카카오맵, 공사 홈페이지 공지(2026-10-23), 운영시간·휴관일: 기획팀장 확인(2026-10-29)</t>
  </si>
  <si>
    <t xml:space="preserve">2026-10-23</t>
  </si>
  <si>
    <t xml:space="preserve">소재지가 화성시로 수원시 지도 범위 밖 — 표시 방식 결정 필요. Par-3 9홀 2026-10-24 재개장. 운영시간은 Par-3 기준이며 골프연습장 등 다른 시설 시간은 미입력</t>
  </si>
  <si>
    <t xml:space="preserve">SUDC-006</t>
  </si>
  <si>
    <t xml:space="preserve">광교호수가족캠핑장</t>
  </si>
  <si>
    <t xml:space="preserve">캠핑·여가</t>
  </si>
  <si>
    <t xml:space="preserve">가족캠핑장</t>
  </si>
  <si>
    <t xml:space="preserve">경기도 수원시 영통구 광교호수로 57 (하동)</t>
  </si>
  <si>
    <t xml:space="preserve">16514</t>
  </si>
  <si>
    <t xml:space="preserve">031-548-0075</t>
  </si>
  <si>
    <r>
      <rPr>
        <sz val="10"/>
        <color rgb="FF000000"/>
        <rFont val="Noto Sans CJK SC"/>
        <family val="2"/>
      </rPr>
      <t xml:space="preserve">입실 이용 당일 </t>
    </r>
    <r>
      <rPr>
        <sz val="10"/>
        <color rgb="FF000000"/>
        <rFont val="맑은 고딕"/>
        <family val="0"/>
        <charset val="1"/>
      </rPr>
      <t xml:space="preserve">14:00 ~ </t>
    </r>
    <r>
      <rPr>
        <sz val="10"/>
        <color rgb="FF000000"/>
        <rFont val="Noto Sans CJK SC"/>
        <family val="2"/>
      </rPr>
      <t xml:space="preserve">퇴실 다음 날 </t>
    </r>
    <r>
      <rPr>
        <sz val="10"/>
        <color rgb="FF000000"/>
        <rFont val="맑은 고딕"/>
        <family val="0"/>
        <charset val="1"/>
      </rPr>
      <t xml:space="preserve">11:00</t>
    </r>
  </si>
  <si>
    <r>
      <rPr>
        <sz val="10"/>
        <color rgb="FF000000"/>
        <rFont val="Noto Sans CJK SC"/>
        <family val="2"/>
      </rPr>
      <t xml:space="preserve">매월 마지막 주 월요일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월요일이 공휴일이면 다음 날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</si>
  <si>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광교호수공원 안에서 가족 단위 캠핑장을 예약제로 운영</t>
  </si>
  <si>
    <t xml:space="preserve">캠핑 사이트, 온라인 예약, 주변 볼거리 안내</t>
  </si>
  <si>
    <t xml:space="preserve">https://www.suwonudc.co.kr/ggcamping/mainPage.do</t>
  </si>
  <si>
    <t xml:space="preserve">http://place.map.kakao.com/22377944</t>
  </si>
  <si>
    <t xml:space="preserve">공사 홈페이지(시설 홈페이지 하단·사업현황), 카카오맵, 운영시간·휴관일: 기획팀장 확인(2026-10-29)</t>
  </si>
  <si>
    <t xml:space="preserve">SUDC-007</t>
  </si>
  <si>
    <t xml:space="preserve">수원시가족여성회관</t>
  </si>
  <si>
    <t xml:space="preserve">여성·가족 교육시설</t>
  </si>
  <si>
    <t xml:space="preserve">팔달구</t>
  </si>
  <si>
    <t xml:space="preserve">경기도 수원시 팔달구 매산로 119 (교동)</t>
  </si>
  <si>
    <t xml:space="preserve">16463</t>
  </si>
  <si>
    <t xml:space="preserve">031-228-3300~1</t>
  </si>
  <si>
    <t xml:space="preserve">09:00~21:00</t>
  </si>
  <si>
    <r>
      <rPr>
        <sz val="10"/>
        <color rgb="FF000000"/>
        <rFont val="Noto Sans CJK SC"/>
        <family val="2"/>
      </rPr>
      <t xml:space="preserve">매주 일요일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공휴일</t>
    </r>
  </si>
  <si>
    <t xml:space="preserve">양성평등 교육과 정규 교육강좌, 대관을 운영하는 여성·가족 교육시설</t>
  </si>
  <si>
    <t xml:space="preserve">젠더아카데미, 찾아가는 양성평등 교육, 정규교육강좌, 기획프로그램, 대관, 전시관(기억의 방)</t>
  </si>
  <si>
    <t xml:space="preserve">https://www.suwonudc.co.kr/sfwomen/mainPage.do</t>
  </si>
  <si>
    <t xml:space="preserve">http://place.map.kakao.com/7967131</t>
  </si>
  <si>
    <t xml:space="preserve">SUDC-008</t>
  </si>
  <si>
    <t xml:space="preserve">수원시연화장</t>
  </si>
  <si>
    <t xml:space="preserve">생활·복지</t>
  </si>
  <si>
    <t xml:space="preserve">장례·추모</t>
  </si>
  <si>
    <t xml:space="preserve">공설 장사시설</t>
  </si>
  <si>
    <t xml:space="preserve">경기도 수원시 영통구 광교호수로 278</t>
  </si>
  <si>
    <t xml:space="preserve">16511</t>
  </si>
  <si>
    <t xml:space="preserve">031-228-2400</t>
  </si>
  <si>
    <t xml:space="preserve">장례식장 접수 031-228-2401</t>
  </si>
  <si>
    <r>
      <rPr>
        <sz val="10"/>
        <color rgb="FF000000"/>
        <rFont val="Noto Sans CJK SC"/>
        <family val="2"/>
      </rPr>
      <t xml:space="preserve">승화원 매일 </t>
    </r>
    <r>
      <rPr>
        <sz val="10"/>
        <color rgb="FF000000"/>
        <rFont val="맑은 고딕"/>
        <family val="0"/>
        <charset val="1"/>
      </rPr>
      <t xml:space="preserve">07:00~16:00 / </t>
    </r>
    <r>
      <rPr>
        <sz val="10"/>
        <color rgb="FF000000"/>
        <rFont val="Noto Sans CJK SC"/>
        <family val="2"/>
      </rPr>
      <t xml:space="preserve">장례식장 </t>
    </r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시간</t>
    </r>
  </si>
  <si>
    <t xml:space="preserve">연중무휴</t>
  </si>
  <si>
    <t xml:space="preserve">화장(승화원)·장례식장·봉안시설을 운영하는 공설 장사시설</t>
  </si>
  <si>
    <t xml:space="preserve">승화원(화장장), 장례식장, 추모의집·봉안담·자연장, 온라인추모관, 실시간 빈소현황</t>
  </si>
  <si>
    <t xml:space="preserve">https://www.suwonudc.co.kr/suwonyhj/mainPage.do</t>
  </si>
  <si>
    <t xml:space="preserve">http://place.map.kakao.com/12450770</t>
  </si>
  <si>
    <t xml:space="preserve">SUDC-009</t>
  </si>
  <si>
    <t xml:space="preserve">수원시장기요양지원센터</t>
  </si>
  <si>
    <t xml:space="preserve">돌봄·복지</t>
  </si>
  <si>
    <t xml:space="preserve">장기요양 지원기관</t>
  </si>
  <si>
    <t xml:space="preserve">경기도 수원시 팔달구 경수대로 612</t>
  </si>
  <si>
    <t xml:space="preserve">16240</t>
  </si>
  <si>
    <t xml:space="preserve">031-228-3420</t>
  </si>
  <si>
    <r>
      <rPr>
        <sz val="10"/>
        <color rgb="FF000000"/>
        <rFont val="Noto Sans CJK SC"/>
        <family val="2"/>
      </rPr>
      <t xml:space="preserve">평일 </t>
    </r>
    <r>
      <rPr>
        <sz val="10"/>
        <color rgb="FF000000"/>
        <rFont val="맑은 고딕"/>
        <family val="0"/>
        <charset val="1"/>
      </rPr>
      <t xml:space="preserve">09:00~18:00</t>
    </r>
  </si>
  <si>
    <r>
      <rPr>
        <sz val="10"/>
        <color rgb="FF000000"/>
        <rFont val="Noto Sans CJK SC"/>
        <family val="2"/>
      </rPr>
      <t xml:space="preserve">주말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공휴일</t>
    </r>
  </si>
  <si>
    <t xml:space="preserve">노인장기요양 정보 안내와 상담, 요양보호사 등 종사자 교육을 지원</t>
  </si>
  <si>
    <t xml:space="preserve">장기요양 상담, 요양보호사 보수교육, 장애인활동지원사 교육, 장기요양기관 안내</t>
  </si>
  <si>
    <t xml:space="preserve">https://www.suwonudc.co.kr/swjjc/base/main/view</t>
  </si>
  <si>
    <t xml:space="preserve">http://place.map.kakao.com/9162799</t>
  </si>
  <si>
    <t xml:space="preserve">SUDC-010</t>
  </si>
  <si>
    <t xml:space="preserve">한아름콜센터</t>
  </si>
  <si>
    <t xml:space="preserve">이동 지원</t>
  </si>
  <si>
    <t xml:space="preserve">교통약자 이동지원</t>
  </si>
  <si>
    <t xml:space="preserve">서비스 안내</t>
  </si>
  <si>
    <t xml:space="preserve">경기도 수원시 권선구 정조로 310</t>
  </si>
  <si>
    <t xml:space="preserve">16661</t>
  </si>
  <si>
    <t xml:space="preserve">031-253-5525</t>
  </si>
  <si>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시간</t>
    </r>
  </si>
  <si>
    <t xml:space="preserve">장애인 등 교통약자를 위한 이동 차량 서비스를 운영</t>
  </si>
  <si>
    <t xml:space="preserve">운영차량 안내, 이용기준, 이용자 등록, 이용방법</t>
  </si>
  <si>
    <t xml:space="preserve">https://www.suwonudc.co.kr/swcall/mainPage.do</t>
  </si>
  <si>
    <t xml:space="preserve">http://place.map.kakao.com/11894050</t>
  </si>
  <si>
    <t xml:space="preserve">-</t>
  </si>
  <si>
    <t xml:space="preserve">시민이 방문하는 시설이 아니므로 마커 대신 서비스 안내 카드로 표시 권장</t>
  </si>
  <si>
    <t xml:space="preserve">SUDC-011</t>
  </si>
  <si>
    <t xml:space="preserve">수원시자원순환센터</t>
  </si>
  <si>
    <t xml:space="preserve">환경·자원순환</t>
  </si>
  <si>
    <t xml:space="preserve">재활용·종량제봉투</t>
  </si>
  <si>
    <t xml:space="preserve">경기도 수원시 영통구 광교호수로 278-1 (하동)</t>
  </si>
  <si>
    <t xml:space="preserve">031-228-2512</t>
  </si>
  <si>
    <t xml:space="preserve">종량제봉투 전화주문 031-228-2500</t>
  </si>
  <si>
    <t xml:space="preserve">생활폐기물 반입과 재활용품 선별·매각, 종량제봉투 공급을 담당</t>
  </si>
  <si>
    <t xml:space="preserve">생활폐기물 수집·반입, 재활용품 매각, 종량제봉투 주문·판매소 안내</t>
  </si>
  <si>
    <t xml:space="preserve">https://www.suwonudc.co.kr/recycle/mainPage.do</t>
  </si>
  <si>
    <t xml:space="preserve">http://place.map.kakao.com/24662855</t>
  </si>
  <si>
    <t xml:space="preserve">B</t>
  </si>
  <si>
    <t xml:space="preserve">SUDC-012</t>
  </si>
  <si>
    <t xml:space="preserve">공영주차장(69개소)</t>
  </si>
  <si>
    <t xml:space="preserve">주차·교통</t>
  </si>
  <si>
    <t xml:space="preserve">주차하기</t>
  </si>
  <si>
    <t xml:space="preserve">공영·부설 주차장</t>
  </si>
  <si>
    <t xml:space="preserve">레이어</t>
  </si>
  <si>
    <t xml:space="preserve">여러 구</t>
  </si>
  <si>
    <t xml:space="preserve">사무실: 경기도 수원시 장안구 경수대로 893 주경기장 1층 주차관리팀</t>
  </si>
  <si>
    <t xml:space="preserve">031-228-2000</t>
  </si>
  <si>
    <r>
      <rPr>
        <sz val="10"/>
        <color rgb="FF000000"/>
        <rFont val="Noto Sans CJK SC"/>
        <family val="2"/>
      </rPr>
      <t xml:space="preserve">주차장별 상이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통합홈페이지 참고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</si>
  <si>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주차장별 상이</t>
  </si>
  <si>
    <t xml:space="preserve">공영·부설 주차장 69개소와 사전결제·정기권 온라인 서비스를 운영</t>
  </si>
  <si>
    <t xml:space="preserve">개소별 상세는 '공영주차장' 시트 참조</t>
  </si>
  <si>
    <t xml:space="preserve">https://parking.suwonudc.co.kr/</t>
  </si>
  <si>
    <t xml:space="preserve">공사 공영주차장 통합홈페이지, 운영시간·휴관일: 기획팀장 확인(2026-10-29)</t>
  </si>
  <si>
    <r>
      <rPr>
        <sz val="10"/>
        <color rgb="FF000000"/>
        <rFont val="맑은 고딕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'2019</t>
    </r>
    <r>
      <rPr>
        <sz val="10"/>
        <color rgb="FF000000"/>
        <rFont val="Noto Sans CJK SC"/>
        <family val="2"/>
      </rPr>
      <t xml:space="preserve">년 기준 </t>
    </r>
    <r>
      <rPr>
        <sz val="10"/>
        <color rgb="FF000000"/>
        <rFont val="맑은 고딕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곳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2026-10-29 </t>
    </r>
    <r>
      <rPr>
        <sz val="10"/>
        <color rgb="FF000000"/>
        <rFont val="Noto Sans CJK SC"/>
        <family val="2"/>
      </rPr>
      <t xml:space="preserve">통합홈페이지 등록 </t>
    </r>
    <r>
      <rPr>
        <sz val="10"/>
        <color rgb="FF000000"/>
        <rFont val="맑은 고딕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개소로 대체</t>
    </r>
  </si>
  <si>
    <t xml:space="preserve">SUDC-013</t>
  </si>
  <si>
    <t xml:space="preserve">거주자우선주차·견인보관소</t>
  </si>
  <si>
    <t xml:space="preserve">거주자우선주차·견인</t>
  </si>
  <si>
    <t xml:space="preserve">경기도 수원시 권선구 정조로 304 (거주자견인팀)</t>
  </si>
  <si>
    <t xml:space="preserve">031-238-0560</t>
  </si>
  <si>
    <t xml:space="preserve">거주자 우선주차 배정과 견인차량 보관을 담당</t>
  </si>
  <si>
    <t xml:space="preserve">거주자우선주차 신청, 견인차량 보관·반환</t>
  </si>
  <si>
    <t xml:space="preserve">http://www.suwonpark.co.kr</t>
  </si>
  <si>
    <t xml:space="preserve">견인보관소를 방문 시설로 마커 표시할지 결정 필요</t>
  </si>
  <si>
    <t xml:space="preserve">SUDC-014</t>
  </si>
  <si>
    <t xml:space="preserve">번호판제작소</t>
  </si>
  <si>
    <t xml:space="preserve">교통·차량 서비스</t>
  </si>
  <si>
    <t xml:space="preserve">자동차 번호판 교부</t>
  </si>
  <si>
    <t xml:space="preserve">경기도 수원시 권선구 서부로 1600</t>
  </si>
  <si>
    <t xml:space="preserve">031-278-5909</t>
  </si>
  <si>
    <t xml:space="preserve">자동차 번호판 신규·재교부와 탈부착 업무를 처리</t>
  </si>
  <si>
    <t xml:space="preserve">본소(신규·재교부·탈부착), SK분소·도이치분소(해당 자동차민원실 등록차량 한정)</t>
  </si>
  <si>
    <t xml:space="preserve">https://www.suwonudc.co.kr/park/PageLink.do?link=forward:/PageContent.do&amp;menuNo=040000&amp;subMenuNo=040100&amp;thirdMenuNo=</t>
  </si>
  <si>
    <t xml:space="preserve">http://place.map.kakao.com/1568767261</t>
  </si>
  <si>
    <t xml:space="preserve">공사 홈페이지(번호판제작소 현황), 카카오맵, 기획팀장 확인(2026-10-29), 운영시간·휴관일: 기획팀장 확인(2026-10-29)</t>
  </si>
  <si>
    <t xml:space="preserve">주소·전화 확정(기획팀장 확인 2026-10-29). 본소 1곳만 지도 표시</t>
  </si>
  <si>
    <t xml:space="preserve">SUDC-015</t>
  </si>
  <si>
    <t xml:space="preserve">수원역환승센터</t>
  </si>
  <si>
    <t xml:space="preserve">환승센터</t>
  </si>
  <si>
    <t xml:space="preserve">경기도 수원시 권선구 세화로 136</t>
  </si>
  <si>
    <t xml:space="preserve">16621</t>
  </si>
  <si>
    <t xml:space="preserve">031-228-2300</t>
  </si>
  <si>
    <t xml:space="preserve">수원역 버스·철도 환승을 위한 환승센터를 운영</t>
  </si>
  <si>
    <t xml:space="preserve">환승센터 운영</t>
  </si>
  <si>
    <t xml:space="preserve">https://www.suwonudc.co.kr/swtraffic/mainPage.do</t>
  </si>
  <si>
    <t xml:space="preserve">http://place.map.kakao.com/27488516</t>
  </si>
  <si>
    <t xml:space="preserve">SUDC-016</t>
  </si>
  <si>
    <t xml:space="preserve">광교중앙역환승센터</t>
  </si>
  <si>
    <t xml:space="preserve">경기도 수원시 영통구 도청로 지하 45</t>
  </si>
  <si>
    <r>
      <rPr>
        <sz val="10"/>
        <color rgb="FF000000"/>
        <rFont val="맑은 고딕"/>
        <family val="0"/>
        <charset val="1"/>
      </rPr>
      <t xml:space="preserve">031-228-2300 (</t>
    </r>
    <r>
      <rPr>
        <sz val="10"/>
        <color rgb="FF000000"/>
        <rFont val="Noto Sans CJK SC"/>
        <family val="2"/>
      </rPr>
      <t xml:space="preserve">환승센터 대표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</si>
  <si>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광교중앙역 버스 환승센터를 운영</t>
  </si>
  <si>
    <t xml:space="preserve">http://place.map.kakao.com/319339301</t>
  </si>
  <si>
    <t xml:space="preserve">공사 홈페이지(환승센터 메뉴), 카카오맵, 기획팀장 확인(2026-10-29), 운영시간·휴관일: 기획팀장 확인(2026-10-29)</t>
  </si>
  <si>
    <t xml:space="preserve">주소 확정(기획팀장 확인 2026-10-29, 카카오맵 기준)</t>
  </si>
  <si>
    <t xml:space="preserve">SUDC-017</t>
  </si>
  <si>
    <t xml:space="preserve">수원도시공사 본사(더함파크)</t>
  </si>
  <si>
    <t xml:space="preserve">공사 본사</t>
  </si>
  <si>
    <t xml:space="preserve">공사 본사·개발사업</t>
  </si>
  <si>
    <t xml:space="preserve">본사 사옥</t>
  </si>
  <si>
    <t xml:space="preserve">경기도 수원시 권선구 수인로 126 더함파크 3층</t>
  </si>
  <si>
    <t xml:space="preserve">16429</t>
  </si>
  <si>
    <t xml:space="preserve">031-228-2800</t>
  </si>
  <si>
    <t xml:space="preserve">공사 경영 전반을 맡는 본사가 있는 사옥</t>
  </si>
  <si>
    <t xml:space="preserve">민원 접수, 채용·정보공개 안내</t>
  </si>
  <si>
    <t xml:space="preserve">https://www.suwonudc.co.kr/mainPage.do</t>
  </si>
  <si>
    <t xml:space="preserve">http://place.map.kakao.com/896850716</t>
  </si>
  <si>
    <t xml:space="preserve">공사 홈페이지 하단, 카카오맵, 운영시간·휴관일: 기획팀장 확인(2026-10-29)</t>
  </si>
  <si>
    <r>
      <rPr>
        <sz val="10"/>
        <color rgb="FF000000"/>
        <rFont val="맑은 고딕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더함파크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행은 본사 건물로 확인되어 이 행으로 통합</t>
    </r>
  </si>
  <si>
    <t xml:space="preserve">SUDC-018</t>
  </si>
  <si>
    <t xml:space="preserve">개발사업본부</t>
  </si>
  <si>
    <t xml:space="preserve">개발사업</t>
  </si>
  <si>
    <t xml:space="preserve">031-228-2917</t>
  </si>
  <si>
    <t xml:space="preserve">도시개발·주택건설·도시정비·위수탁개발 사업을 시행</t>
  </si>
  <si>
    <t xml:space="preserve">탑동이노베이션밸리(탑동IV), 도시개발사업, 주택건설사업, 도시정비사업, 위수탁개발사업</t>
  </si>
  <si>
    <t xml:space="preserve">https://www.suwonudc.co.kr/swdevelop/mainPage.do</t>
  </si>
  <si>
    <t xml:space="preserve">사업지구(탑동 등) 위치를 지도에 별도 표시할지 결정 필요</t>
  </si>
  <si>
    <t xml:space="preserve">주차장ID</t>
  </si>
  <si>
    <t xml:space="preserve">주차장명</t>
  </si>
  <si>
    <t xml:space="preserve">구분</t>
  </si>
  <si>
    <t xml:space="preserve">운영 표기</t>
  </si>
  <si>
    <t xml:space="preserve">총 면수</t>
  </si>
  <si>
    <t xml:space="preserve">급속 충전기</t>
  </si>
  <si>
    <t xml:space="preserve">완속 충전기</t>
  </si>
  <si>
    <t xml:space="preserve">위도</t>
  </si>
  <si>
    <t xml:space="preserve">경도</t>
  </si>
  <si>
    <t xml:space="preserve">실시간 연동</t>
  </si>
  <si>
    <t xml:space="preserve">일러스트 마커</t>
  </si>
  <si>
    <t xml:space="preserve">P-001</t>
  </si>
  <si>
    <t xml:space="preserve">성대 환승(구)</t>
  </si>
  <si>
    <t xml:space="preserve">공영</t>
  </si>
  <si>
    <t xml:space="preserve">수원도시공사</t>
  </si>
  <si>
    <t xml:space="preserve">낮음(소수 4자리 이하)</t>
  </si>
  <si>
    <t xml:space="preserve">연동</t>
  </si>
  <si>
    <t xml:space="preserve">좌표 재확인 필요. </t>
  </si>
  <si>
    <t xml:space="preserve">P-002</t>
  </si>
  <si>
    <t xml:space="preserve">꽃뫼환승</t>
  </si>
  <si>
    <t xml:space="preserve">P-003</t>
  </si>
  <si>
    <t xml:space="preserve">세류역환승</t>
  </si>
  <si>
    <t xml:space="preserve">양호</t>
  </si>
  <si>
    <t xml:space="preserve">P-004</t>
  </si>
  <si>
    <t xml:space="preserve">성균관대역 환승</t>
  </si>
  <si>
    <t xml:space="preserve">P-005</t>
  </si>
  <si>
    <t xml:space="preserve">교동 공영</t>
  </si>
  <si>
    <t xml:space="preserve">P-006</t>
  </si>
  <si>
    <t xml:space="preserve">인계 공영</t>
  </si>
  <si>
    <t xml:space="preserve">P-007</t>
  </si>
  <si>
    <t xml:space="preserve">영통 공영</t>
  </si>
  <si>
    <t xml:space="preserve">P-008</t>
  </si>
  <si>
    <t xml:space="preserve">대황교화물</t>
  </si>
  <si>
    <t xml:space="preserve">현장운영</t>
  </si>
  <si>
    <t xml:space="preserve">수원도시공사(현장운영)</t>
  </si>
  <si>
    <t xml:space="preserve">미연동(현장운영)</t>
  </si>
  <si>
    <t xml:space="preserve">P-009</t>
  </si>
  <si>
    <t xml:space="preserve">율전 공영</t>
  </si>
  <si>
    <t xml:space="preserve">P-010</t>
  </si>
  <si>
    <t xml:space="preserve">율전 제2공영</t>
  </si>
  <si>
    <t xml:space="preserve">P-011</t>
  </si>
  <si>
    <t xml:space="preserve">광교 공영</t>
  </si>
  <si>
    <t xml:space="preserve">P-012</t>
  </si>
  <si>
    <t xml:space="preserve">터미널 공영</t>
  </si>
  <si>
    <t xml:space="preserve">P-013</t>
  </si>
  <si>
    <t xml:space="preserve">영화동 지하</t>
  </si>
  <si>
    <t xml:space="preserve">P-014</t>
  </si>
  <si>
    <t xml:space="preserve">영화동 지상</t>
  </si>
  <si>
    <t xml:space="preserve">P-015</t>
  </si>
  <si>
    <t xml:space="preserve">인계동주택가 공영</t>
  </si>
  <si>
    <t xml:space="preserve">P-016</t>
  </si>
  <si>
    <t xml:space="preserve">만석 5주차장</t>
  </si>
  <si>
    <t xml:space="preserve">P-017</t>
  </si>
  <si>
    <t xml:space="preserve">곡반정동 제2공영</t>
  </si>
  <si>
    <t xml:space="preserve">P-018</t>
  </si>
  <si>
    <t xml:space="preserve">백설 공영</t>
  </si>
  <si>
    <t xml:space="preserve">P-019</t>
  </si>
  <si>
    <t xml:space="preserve">권선동지하 공영</t>
  </si>
  <si>
    <t xml:space="preserve">P-020</t>
  </si>
  <si>
    <t xml:space="preserve">매봉 공영</t>
  </si>
  <si>
    <t xml:space="preserve">P-021</t>
  </si>
  <si>
    <t xml:space="preserve">우만공원 공영</t>
  </si>
  <si>
    <t xml:space="preserve">P-022</t>
  </si>
  <si>
    <t xml:space="preserve">매탄공원 공영</t>
  </si>
  <si>
    <t xml:space="preserve">P-023</t>
  </si>
  <si>
    <t xml:space="preserve">화홍문 공영</t>
  </si>
  <si>
    <t xml:space="preserve">P-024</t>
  </si>
  <si>
    <t xml:space="preserve">광교 원천호수</t>
  </si>
  <si>
    <t xml:space="preserve">P-025</t>
  </si>
  <si>
    <t xml:space="preserve">창룡 공영</t>
  </si>
  <si>
    <t xml:space="preserve">P-026</t>
  </si>
  <si>
    <t xml:space="preserve">광교 행복한들</t>
  </si>
  <si>
    <t xml:space="preserve">P-027</t>
  </si>
  <si>
    <t xml:space="preserve">신대호수</t>
  </si>
  <si>
    <t xml:space="preserve">P-028</t>
  </si>
  <si>
    <t xml:space="preserve">광교 카페거리1 공영</t>
  </si>
  <si>
    <t xml:space="preserve">P-029</t>
  </si>
  <si>
    <t xml:space="preserve">광교중앙마을</t>
  </si>
  <si>
    <t xml:space="preserve">P-030</t>
  </si>
  <si>
    <t xml:space="preserve">광교대학로 제2공영</t>
  </si>
  <si>
    <t xml:space="preserve">P-031</t>
  </si>
  <si>
    <t xml:space="preserve">광교대학로 제1공영</t>
  </si>
  <si>
    <t xml:space="preserve">P-032</t>
  </si>
  <si>
    <t xml:space="preserve">장안동 공영</t>
  </si>
  <si>
    <t xml:space="preserve">P-033</t>
  </si>
  <si>
    <t xml:space="preserve">만석 1주차장</t>
  </si>
  <si>
    <t xml:space="preserve">P-034</t>
  </si>
  <si>
    <t xml:space="preserve">만석 2주차장</t>
  </si>
  <si>
    <t xml:space="preserve">P-035</t>
  </si>
  <si>
    <t xml:space="preserve">만석 3주차장</t>
  </si>
  <si>
    <t xml:space="preserve">P-036</t>
  </si>
  <si>
    <t xml:space="preserve">만석 4주차장</t>
  </si>
  <si>
    <t xml:space="preserve">P-037</t>
  </si>
  <si>
    <t xml:space="preserve">연무동 공영</t>
  </si>
  <si>
    <t xml:space="preserve">P-038</t>
  </si>
  <si>
    <t xml:space="preserve">농수산물도매시장</t>
  </si>
  <si>
    <t xml:space="preserve">P-039</t>
  </si>
  <si>
    <t xml:space="preserve">수원시청 본관</t>
  </si>
  <si>
    <t xml:space="preserve">부설</t>
  </si>
  <si>
    <t xml:space="preserve">P-040</t>
  </si>
  <si>
    <t xml:space="preserve">선경도서관</t>
  </si>
  <si>
    <t xml:space="preserve">P-041</t>
  </si>
  <si>
    <t xml:space="preserve">수원시청·시의회(지상)</t>
  </si>
  <si>
    <t xml:space="preserve">P-042</t>
  </si>
  <si>
    <t xml:space="preserve">영통구청 부설</t>
  </si>
  <si>
    <t xml:space="preserve">P-043</t>
  </si>
  <si>
    <t xml:space="preserve">수원시청 별관(지하)</t>
  </si>
  <si>
    <t xml:space="preserve">P-044</t>
  </si>
  <si>
    <t xml:space="preserve">남수동 공영</t>
  </si>
  <si>
    <t xml:space="preserve">P-045</t>
  </si>
  <si>
    <t xml:space="preserve">화성박물관(팔달구청)</t>
  </si>
  <si>
    <t xml:space="preserve">P-046</t>
  </si>
  <si>
    <t xml:space="preserve">권선구청 부설</t>
  </si>
  <si>
    <t xml:space="preserve">P-047</t>
  </si>
  <si>
    <t xml:space="preserve">장다리길</t>
  </si>
  <si>
    <t xml:space="preserve">수원도시공사(민간위탁)</t>
  </si>
  <si>
    <t xml:space="preserve">P-048</t>
  </si>
  <si>
    <t xml:space="preserve">영통중앙길</t>
  </si>
  <si>
    <t xml:space="preserve">P-049</t>
  </si>
  <si>
    <t xml:space="preserve">영통우체국</t>
  </si>
  <si>
    <t xml:space="preserve">P-050</t>
  </si>
  <si>
    <t xml:space="preserve">매탄4지구</t>
  </si>
  <si>
    <t xml:space="preserve">P-051</t>
  </si>
  <si>
    <t xml:space="preserve">신동 제1</t>
  </si>
  <si>
    <t xml:space="preserve">P-052</t>
  </si>
  <si>
    <t xml:space="preserve">수원화물차고지</t>
  </si>
  <si>
    <t xml:space="preserve">P-053</t>
  </si>
  <si>
    <t xml:space="preserve">광교홍재도서관</t>
  </si>
  <si>
    <t xml:space="preserve">P-054</t>
  </si>
  <si>
    <t xml:space="preserve">역세권1지구</t>
  </si>
  <si>
    <t xml:space="preserve">P-055</t>
  </si>
  <si>
    <t xml:space="preserve">파장동 맛고을거리</t>
  </si>
  <si>
    <t xml:space="preserve">P-056</t>
  </si>
  <si>
    <t xml:space="preserve">곡반정동 제7공영</t>
  </si>
  <si>
    <t xml:space="preserve">P-057</t>
  </si>
  <si>
    <t xml:space="preserve">일월수목원</t>
  </si>
  <si>
    <t xml:space="preserve">P-058</t>
  </si>
  <si>
    <t xml:space="preserve">우만2동</t>
  </si>
  <si>
    <t xml:space="preserve">P-059</t>
  </si>
  <si>
    <t xml:space="preserve">곡반정동 제8공영</t>
  </si>
  <si>
    <t xml:space="preserve">P-060</t>
  </si>
  <si>
    <t xml:space="preserve">화서시장</t>
  </si>
  <si>
    <t xml:space="preserve">P-061</t>
  </si>
  <si>
    <t xml:space="preserve">구운공원</t>
  </si>
  <si>
    <t xml:space="preserve">P-062</t>
  </si>
  <si>
    <t xml:space="preserve">화서동 먹거리촌</t>
  </si>
  <si>
    <t xml:space="preserve">P-063</t>
  </si>
  <si>
    <t xml:space="preserve">고등동</t>
  </si>
  <si>
    <t xml:space="preserve">좌표 재확인 필요. 충전기 수 미등록. </t>
  </si>
  <si>
    <t xml:space="preserve">P-064</t>
  </si>
  <si>
    <t xml:space="preserve">율전 제3</t>
  </si>
  <si>
    <t xml:space="preserve">P-065</t>
  </si>
  <si>
    <t xml:space="preserve">광교 외식타운</t>
  </si>
  <si>
    <t xml:space="preserve">P-066</t>
  </si>
  <si>
    <t xml:space="preserve">신동 제3</t>
  </si>
  <si>
    <t xml:space="preserve">P-067</t>
  </si>
  <si>
    <t xml:space="preserve">수원시의회(지하)</t>
  </si>
  <si>
    <t xml:space="preserve">충전기 수 미등록. </t>
  </si>
  <si>
    <t xml:space="preserve">P-068</t>
  </si>
  <si>
    <t xml:space="preserve">인계동 행정복지센터</t>
  </si>
  <si>
    <t xml:space="preserve">P-069</t>
  </si>
  <si>
    <t xml:space="preserve">서둔동 행정복지센터</t>
  </si>
  <si>
    <t xml:space="preserve">※ 출처: 수원 공영주차장 통합홈페이지(parking.suwonudc.co.kr) 주차장 검색 결과, 2026-10-29 조회. 면수·충전기 수는 조회 시점 값입니다.</t>
  </si>
  <si>
    <t xml:space="preserve">※ 통합홈페이지에는 주소가 없어 도로명주소·구는 비워 두었습니다(연노랑 셀). 구분 '현장운영'은 통합홈페이지 표기 그대로이며, 일부는 '민간위탁'으로 표기되어 있습니다.</t>
  </si>
  <si>
    <r>
      <rPr>
        <sz val="9"/>
        <color rgb="FF595959"/>
        <rFont val="맑은 고딕"/>
        <family val="0"/>
        <charset val="1"/>
      </rPr>
      <t xml:space="preserve">※ v0.1</t>
    </r>
    <r>
      <rPr>
        <sz val="9"/>
        <color rgb="FF595959"/>
        <rFont val="Noto Sans CJK SC"/>
        <family val="2"/>
      </rPr>
      <t xml:space="preserve">에 있던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팔달주차타워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지동시장</t>
    </r>
    <r>
      <rPr>
        <sz val="9"/>
        <color rgb="FF595959"/>
        <rFont val="맑은 고딕"/>
        <family val="0"/>
        <charset val="1"/>
      </rPr>
      <t xml:space="preserve">)'</t>
    </r>
    <r>
      <rPr>
        <sz val="9"/>
        <color rgb="FF595959"/>
        <rFont val="Noto Sans CJK SC"/>
        <family val="2"/>
      </rPr>
      <t xml:space="preserve">는 현행 목록에 없어 제외했습니다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</si>
  <si>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입력·검증 진행현황 (자동 집계)</t>
  </si>
  <si>
    <t xml:space="preserve">단위: 건(면수는 면). 비율은 각 표의 합계 대비입니다.</t>
  </si>
  <si>
    <t xml:space="preserve">건수</t>
  </si>
  <si>
    <t xml:space="preserve">비율</t>
  </si>
  <si>
    <t xml:space="preserve">전체 등록 건수</t>
  </si>
  <si>
    <t xml:space="preserve">개소</t>
  </si>
  <si>
    <t xml:space="preserve">면수</t>
  </si>
  <si>
    <t xml:space="preserve">전체</t>
  </si>
  <si>
    <t xml:space="preserve">주차장 검증 상태</t>
  </si>
  <si>
    <t xml:space="preserve">확보</t>
  </si>
  <si>
    <t xml:space="preserve">미확보</t>
  </si>
  <si>
    <t xml:space="preserve">촬영 필요</t>
  </si>
  <si>
    <t xml:space="preserve">※ 공사 공식 분류는 공사 홈페이지 '사업현황' 탭(문화·체육/생활·복지/주차·교통/개발사업) 기준입니다. 생활목적 분류는 지도 필터용으로 기획팀이 정한 값입니다.</t>
  </si>
  <si>
    <t xml:space="preserve">※ 드롭다운은 각 열 20행까지 인식하므로 빈 칸에 값을 추가하면 바로 반영됩니다.</t>
  </si>
  <si>
    <t xml:space="preserve">대상</t>
  </si>
  <si>
    <t xml:space="preserve">v0.1</t>
  </si>
  <si>
    <t xml:space="preserve">v0.2</t>
  </si>
  <si>
    <t xml:space="preserve">근거</t>
  </si>
  <si>
    <t xml:space="preserve">분류 체계</t>
  </si>
  <si>
    <t xml:space="preserve">생활목적 분류만 사용</t>
  </si>
  <si>
    <t xml:space="preserve">공사 공식 분류(4개 탭+본사) 열 추가, 생활목적 분류 9개로 세분화</t>
  </si>
  <si>
    <t xml:space="preserve">공사 홈페이지 사업현황</t>
  </si>
  <si>
    <t xml:space="preserve">신규 추가</t>
  </si>
  <si>
    <t xml:space="preserve">없음</t>
  </si>
  <si>
    <t xml:space="preserve">추가(문화·체육)</t>
  </si>
  <si>
    <t xml:space="preserve">추가(생활·복지)</t>
  </si>
  <si>
    <t xml:space="preserve">거주자우선주차·견인보관소, 번호판제작소, 환승센터 2곳</t>
  </si>
  <si>
    <t xml:space="preserve">추가(주차·교통)</t>
  </si>
  <si>
    <t xml:space="preserve">수원도시공사 본사, 개발사업본부</t>
  </si>
  <si>
    <t xml:space="preserve">추가</t>
  </si>
  <si>
    <t xml:space="preserve">공사 홈페이지 하단·사업현황</t>
  </si>
  <si>
    <t xml:space="preserve">통합</t>
  </si>
  <si>
    <t xml:space="preserve">더함파크</t>
  </si>
  <si>
    <t xml:space="preserve">분류 미정 사업장</t>
  </si>
  <si>
    <t xml:space="preserve">본사 사옥(수인로 126 더함파크 3층)으로 확인, 본사 행에 통합</t>
  </si>
  <si>
    <t xml:space="preserve">공사 홈페이지 하단</t>
  </si>
  <si>
    <t xml:space="preserve">교체</t>
  </si>
  <si>
    <r>
      <rPr>
        <sz val="10"/>
        <color rgb="FF000000"/>
        <rFont val="맑은 고딕"/>
        <family val="0"/>
        <charset val="1"/>
      </rPr>
      <t xml:space="preserve">2019</t>
    </r>
    <r>
      <rPr>
        <sz val="10"/>
        <color rgb="FF000000"/>
        <rFont val="Noto Sans CJK SC"/>
        <family val="2"/>
      </rPr>
      <t xml:space="preserve">년 기사 기준 </t>
    </r>
    <r>
      <rPr>
        <sz val="10"/>
        <color rgb="FF000000"/>
        <rFont val="맑은 고딕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곳</t>
    </r>
    <r>
      <rPr>
        <sz val="10"/>
        <color rgb="FF000000"/>
        <rFont val="맑은 고딕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행</t>
    </r>
  </si>
  <si>
    <t xml:space="preserve">통합홈페이지 등록 69개소, 별도 시트(위도·경도 포함)</t>
  </si>
  <si>
    <t xml:space="preserve">공영주차장 통합홈페이지</t>
  </si>
  <si>
    <t xml:space="preserve">삭제</t>
  </si>
  <si>
    <t xml:space="preserve">팔달주차타워(지동시장)</t>
  </si>
  <si>
    <r>
      <rPr>
        <sz val="10"/>
        <color rgb="FF000000"/>
        <rFont val="맑은 고딕"/>
        <family val="0"/>
        <charset val="1"/>
      </rPr>
      <t xml:space="preserve">2019</t>
    </r>
    <r>
      <rPr>
        <sz val="10"/>
        <color rgb="FF000000"/>
        <rFont val="Noto Sans CJK SC"/>
        <family val="2"/>
      </rPr>
      <t xml:space="preserve">년 기사 기준 포함</t>
    </r>
  </si>
  <si>
    <t xml:space="preserve">현행 69개소 목록에 없어 제외</t>
  </si>
  <si>
    <t xml:space="preserve">농수산물도매시장 부설주차장</t>
  </si>
  <si>
    <t xml:space="preserve">별도 행</t>
  </si>
  <si>
    <t xml:space="preserve">공영주차장 시트 '농수산물도매시장'(현장운영)으로 이동</t>
  </si>
  <si>
    <t xml:space="preserve">정정</t>
  </si>
  <si>
    <t xml:space="preserve">화산체육공원 주소·구</t>
  </si>
  <si>
    <t xml:space="preserve">주소 미입력</t>
  </si>
  <si>
    <t xml:space="preserve">경기도 화성시 병점구 태안로 263, 구 '수원시 외'</t>
  </si>
  <si>
    <t xml:space="preserve">화산체육공원 홈페이지 하단</t>
  </si>
  <si>
    <t xml:space="preserve">대표전화(장안·종합운동장·칠보·웰빙)</t>
  </si>
  <si>
    <t xml:space="preserve">수원시 자료 번호</t>
  </si>
  <si>
    <t xml:space="preserve">공사 홈페이지 번호로 입력, 수원시 자료 번호는 비고에 병기</t>
  </si>
  <si>
    <t xml:space="preserve">시설 홈페이지 하단</t>
  </si>
  <si>
    <t xml:space="preserve">광교웰빙국민체육센터 주소</t>
  </si>
  <si>
    <t xml:space="preserve">웰빙타운로 73</t>
  </si>
  <si>
    <t xml:space="preserve">웰빙타운로 71과 73 병기(확인 필요)</t>
  </si>
  <si>
    <t xml:space="preserve">시설 홈페이지 하단, 카카오맵</t>
  </si>
  <si>
    <t xml:space="preserve">보완</t>
  </si>
  <si>
    <t xml:space="preserve">주소·우편번호·카카오맵 링크</t>
  </si>
  <si>
    <t xml:space="preserve">대부분 미입력</t>
  </si>
  <si>
    <t xml:space="preserve">시설 홈페이지 하단 주소와 카카오맵 장소 링크 입력</t>
  </si>
  <si>
    <t xml:space="preserve">시설 홈페이지, 카카오맵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</si>
  <si>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</si>
  <si>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홈페이지 확인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단계 추가</t>
    </r>
    <r>
      <rPr>
        <sz val="10"/>
        <color rgb="FF000000"/>
        <rFont val="맑은 고딕"/>
        <family val="0"/>
        <charset val="1"/>
      </rPr>
      <t xml:space="preserve">(5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</si>
  <si>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—</t>
  </si>
  <si>
    <t xml:space="preserve">확인</t>
  </si>
  <si>
    <t xml:space="preserve">대표전화 4건(장안·종합운동장·칠보·웰빙)</t>
  </si>
  <si>
    <t xml:space="preserve">출처 간 상충</t>
  </si>
  <si>
    <t xml:space="preserve">공사 홈페이지 번호로 확정</t>
  </si>
  <si>
    <t xml:space="preserve">기획팀장 확인 2026-10-29</t>
  </si>
  <si>
    <t xml:space="preserve">웰빙센터 주소·명칭</t>
  </si>
  <si>
    <r>
      <rPr>
        <sz val="10"/>
        <color rgb="FF000000"/>
        <rFont val="맑은 고딕"/>
        <family val="0"/>
        <charset val="1"/>
      </rPr>
      <t xml:space="preserve">71/73 </t>
    </r>
    <r>
      <rPr>
        <sz val="10"/>
        <color rgb="FF000000"/>
        <rFont val="Noto Sans CJK SC"/>
        <family val="2"/>
      </rPr>
      <t xml:space="preserve">병기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웰빙스포츠센터 동일 여부 미확인</t>
    </r>
  </si>
  <si>
    <t xml:space="preserve">웰빙타운로 71, 웰빙스포츠센터와 같은 시설</t>
  </si>
  <si>
    <t xml:space="preserve">주소 카카오맵 기준, 전화 미확인</t>
  </si>
  <si>
    <t xml:space="preserve">서부로 1600 본소, 031-278-5909</t>
  </si>
  <si>
    <t xml:space="preserve">광교중앙역환승센터 주소</t>
  </si>
  <si>
    <t xml:space="preserve">카카오맵 기준</t>
  </si>
  <si>
    <t xml:space="preserve">도청로 지하 45로 확정</t>
  </si>
  <si>
    <t xml:space="preserve">운영시간·휴관일 17건</t>
  </si>
  <si>
    <t xml:space="preserve">기획팀장 답변으로 입력(장안구민회관 시간은 카카오맵 값 확인)</t>
  </si>
  <si>
    <t xml:space="preserve">자료명</t>
  </si>
  <si>
    <t xml:space="preserve">발행·관리</t>
  </si>
  <si>
    <t xml:space="preserve">확인일</t>
  </si>
  <si>
    <t xml:space="preserve">링크</t>
  </si>
  <si>
    <t xml:space="preserve">수원도시공사 공사소개 &gt; 사업현황</t>
  </si>
  <si>
    <t xml:space="preserve">https://www.suwonudc.co.kr/PageLink.do?menuNo=050000&amp;subMenuNo=050100&amp;thirdMenuNo=050109&amp;link=forward:/PageContent.do&amp;tempParam1=&amp;</t>
  </si>
  <si>
    <t xml:space="preserve">수원도시공사 메인 및 시설별 홈페이지(하단 주소·전화, 메뉴 구성)</t>
  </si>
  <si>
    <t xml:space="preserve">화산체육공원 Par-3 9홀 재개장 안내(공지 2026-10-23)</t>
  </si>
  <si>
    <t xml:space="preserve">번호판제작소 현황 및 이용안내</t>
  </si>
  <si>
    <t xml:space="preserve">수원도시공사 주차사업처</t>
  </si>
  <si>
    <t xml:space="preserve">수원 공영주차장 통합홈페이지(주차장 검색 결과)</t>
  </si>
  <si>
    <t xml:space="preserve">카카오맵 장소 검색(주소·장소 링크)</t>
  </si>
  <si>
    <t xml:space="preserve">카카오</t>
  </si>
  <si>
    <t xml:space="preserve">https://map.kakao.com/</t>
  </si>
  <si>
    <t xml:space="preserve">수원시 체육시설 현황(수정 2025-12-15)</t>
  </si>
  <si>
    <t xml:space="preserve">수원시 체육진흥과</t>
  </si>
  <si>
    <t xml:space="preserve">https://www.suwon.go.kr/sw-www/deptHome/dep_tour/culture03/culture03_03/culture03_03_13.jsp</t>
  </si>
  <si>
    <t xml:space="preserve">수원시 수영장 현황(수정 2026-07-31)</t>
  </si>
  <si>
    <t xml:space="preserve">https://www.suwon.go.kr/sw-www/deptHome/dep_tour/culture03/culture03_03/culture03_03_14.jsp</t>
  </si>
  <si>
    <t xml:space="preserve">서수원칠보체육관 탁구장 예약 안내</t>
  </si>
  <si>
    <t xml:space="preserve">수원시 통합예약</t>
  </si>
  <si>
    <t xml:space="preserve">https://www.suwon.go.kr/web/reserv/faci/view.do?seqNo=836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</si>
</sst>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000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10"/>
      <color rgb="FF00000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sz val="10"/>
      <name val="Arial"/>
      <family val="2"/>
    </font>
    <font>
      <sz val="9"/>
      <color rgb="FF595959"/>
      <name val="맑은 고딕"/>
      <family val="0"/>
      <charset val="1"/>
    </font>
    <font>
      <sz val="9"/>
      <color rgb="FF595959"/>
      <name val="Noto Sans CJK SC"/>
      <family val="2"/>
    </font>
    <font>
      <b val="true"/>
      <sz val="13"/>
      <color rgb="FF1F4E79"/>
      <name val="Noto Sans CJK SC"/>
      <family val="2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6.5" hidden="false" customHeight="true" outlineLevel="0" collapsed="false">
      <c r="A4" s="5" t="s">
        <v>2</v>
      </c>
      <c r="B4" s="6"/>
    </row>
    <row r="5" customFormat="false" ht="15" hidden="false" customHeight="true" outlineLevel="0" collapsed="false">
      <c r="A5" s="7" t="s">
        <v>3</v>
      </c>
      <c r="B5" s="8" t="s">
        <v>4</v>
      </c>
    </row>
    <row r="6" customFormat="false" ht="15" hidden="false" customHeight="true" outlineLevel="0" collapsed="false">
      <c r="A6" s="7" t="s">
        <v>5</v>
      </c>
      <c r="B6" s="8" t="s">
        <v>6</v>
      </c>
    </row>
    <row r="7" customFormat="false" ht="15" hidden="false" customHeight="true" outlineLevel="0" collapsed="false">
      <c r="A7" s="7" t="s">
        <v>7</v>
      </c>
      <c r="B7" s="8" t="s">
        <v>8</v>
      </c>
    </row>
    <row r="8" customFormat="false" ht="15" hidden="false" customHeight="true" outlineLevel="0" collapsed="false">
      <c r="A8" s="7" t="s">
        <v>9</v>
      </c>
      <c r="B8" s="8" t="s">
        <v>10</v>
      </c>
    </row>
    <row r="9" customFormat="false" ht="15" hidden="false" customHeight="true" outlineLevel="0" collapsed="false">
      <c r="A9" s="7" t="s">
        <v>11</v>
      </c>
      <c r="B9" s="9" t="s">
        <v>12</v>
      </c>
    </row>
    <row r="10" customFormat="false" ht="15" hidden="false" customHeight="true" outlineLevel="0" collapsed="false">
      <c r="A10" s="7" t="s">
        <v>13</v>
      </c>
      <c r="B10" s="8" t="s">
        <v>14</v>
      </c>
    </row>
    <row r="11" customFormat="false" ht="15" hidden="false" customHeight="true" outlineLevel="0" collapsed="false">
      <c r="A11" s="4"/>
    </row>
    <row r="12" customFormat="false" ht="16.5" hidden="false" customHeight="true" outlineLevel="0" collapsed="false">
      <c r="A12" s="5" t="s">
        <v>15</v>
      </c>
      <c r="B12" s="6"/>
    </row>
    <row r="13" customFormat="false" ht="15" hidden="false" customHeight="true" outlineLevel="0" collapsed="false">
      <c r="A13" s="7" t="s">
        <v>16</v>
      </c>
      <c r="B13" s="8" t="s">
        <v>17</v>
      </c>
    </row>
    <row r="14" customFormat="false" ht="15" hidden="false" customHeight="true" outlineLevel="0" collapsed="false">
      <c r="A14" s="7" t="s">
        <v>18</v>
      </c>
      <c r="B14" s="8" t="s">
        <v>19</v>
      </c>
    </row>
    <row r="15" customFormat="false" ht="15" hidden="false" customHeight="true" outlineLevel="0" collapsed="false">
      <c r="A15" s="7" t="s">
        <v>20</v>
      </c>
      <c r="B15" s="8" t="s">
        <v>21</v>
      </c>
    </row>
    <row r="16" customFormat="false" ht="29.25" hidden="false" customHeight="true" outlineLevel="0" collapsed="false">
      <c r="A16" s="7" t="s">
        <v>22</v>
      </c>
      <c r="B16" s="8" t="s">
        <v>23</v>
      </c>
    </row>
    <row r="17" customFormat="false" ht="15" hidden="false" customHeight="true" outlineLevel="0" collapsed="false">
      <c r="A17" s="7" t="s">
        <v>24</v>
      </c>
      <c r="B17" s="8" t="s">
        <v>25</v>
      </c>
    </row>
    <row r="18" customFormat="false" ht="15" hidden="false" customHeight="true" outlineLevel="0" collapsed="false">
      <c r="A18" s="7" t="s">
        <v>26</v>
      </c>
      <c r="B18" s="9" t="s">
        <v>27</v>
      </c>
    </row>
    <row r="19" customFormat="false" ht="15" hidden="false" customHeight="true" outlineLevel="0" collapsed="false">
      <c r="A19" s="7" t="s">
        <v>28</v>
      </c>
      <c r="B19" s="8" t="s">
        <v>29</v>
      </c>
    </row>
    <row r="20" customFormat="false" ht="15" hidden="false" customHeight="true" outlineLevel="0" collapsed="false">
      <c r="A20" s="7" t="s">
        <v>30</v>
      </c>
      <c r="B20" s="8" t="s">
        <v>31</v>
      </c>
    </row>
    <row r="21" customFormat="false" ht="15" hidden="false" customHeight="true" outlineLevel="0" collapsed="false">
      <c r="A21" s="4"/>
    </row>
    <row r="22" customFormat="false" ht="16.5" hidden="false" customHeight="true" outlineLevel="0" collapsed="false">
      <c r="A22" s="5" t="s">
        <v>32</v>
      </c>
      <c r="B22" s="6"/>
    </row>
    <row r="23" customFormat="false" ht="15" hidden="false" customHeight="true" outlineLevel="0" collapsed="false">
      <c r="A23" s="7" t="s">
        <v>33</v>
      </c>
      <c r="B23" s="8" t="s">
        <v>34</v>
      </c>
    </row>
    <row r="24" customFormat="false" ht="15" hidden="false" customHeight="true" outlineLevel="0" collapsed="false">
      <c r="A24" s="7" t="s">
        <v>35</v>
      </c>
      <c r="B24" s="8" t="s">
        <v>36</v>
      </c>
    </row>
    <row r="25" customFormat="false" ht="15" hidden="false" customHeight="true" outlineLevel="0" collapsed="false">
      <c r="A25" s="7" t="s">
        <v>37</v>
      </c>
      <c r="B25" s="8" t="s">
        <v>38</v>
      </c>
    </row>
    <row r="26" customFormat="false" ht="15" hidden="false" customHeight="true" outlineLevel="0" collapsed="false">
      <c r="A26" s="7" t="s">
        <v>39</v>
      </c>
      <c r="B26" s="8" t="s">
        <v>40</v>
      </c>
    </row>
    <row r="27" customFormat="false" ht="15" hidden="false" customHeight="true" outlineLevel="0" collapsed="false">
      <c r="A27" s="7" t="s">
        <v>41</v>
      </c>
      <c r="B27" s="8" t="s">
        <v>42</v>
      </c>
    </row>
    <row r="28" customFormat="false" ht="15" hidden="false" customHeight="true" outlineLevel="0" collapsed="false">
      <c r="A28" s="4"/>
    </row>
    <row r="29" customFormat="false" ht="16.5" hidden="false" customHeight="true" outlineLevel="0" collapsed="false">
      <c r="A29" s="5" t="s">
        <v>43</v>
      </c>
      <c r="B29" s="6"/>
    </row>
    <row r="30" customFormat="false" ht="15" hidden="false" customHeight="true" outlineLevel="0" collapsed="false">
      <c r="A30" s="7" t="s">
        <v>44</v>
      </c>
      <c r="B30" s="8" t="s">
        <v>45</v>
      </c>
    </row>
    <row r="31" customFormat="false" ht="15" hidden="false" customHeight="true" outlineLevel="0" collapsed="false">
      <c r="A31" s="7" t="s">
        <v>46</v>
      </c>
      <c r="B31" s="8" t="s">
        <v>47</v>
      </c>
    </row>
    <row r="32" customFormat="false" ht="15" hidden="false" customHeight="true" outlineLevel="0" collapsed="false">
      <c r="A32" s="7" t="s">
        <v>48</v>
      </c>
      <c r="B32" s="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34"/>
    <col collapsed="false" customWidth="true" hidden="false" outlineLevel="0" max="9" min="9" style="1" width="9"/>
    <col collapsed="false" customWidth="true" hidden="false" outlineLevel="0" max="10" min="10" style="1" width="22"/>
    <col collapsed="false" customWidth="true" hidden="false" outlineLevel="0" max="12" min="11" style="1" width="24"/>
    <col collapsed="false" customWidth="true" hidden="false" outlineLevel="0" max="13" min="13" style="1" width="18"/>
    <col collapsed="false" customWidth="true" hidden="false" outlineLevel="0" max="14" min="14" style="1" width="38"/>
    <col collapsed="false" customWidth="true" hidden="false" outlineLevel="0" max="15" min="15" style="1" width="40"/>
    <col collapsed="false" customWidth="true" hidden="false" outlineLevel="0" max="16" min="16" style="1" width="30"/>
    <col collapsed="false" customWidth="true" hidden="false" outlineLevel="0" max="17" min="17" style="1" width="28"/>
    <col collapsed="false" customWidth="true" hidden="false" outlineLevel="0" max="18" min="18" style="1" width="9"/>
    <col collapsed="false" customWidth="true" hidden="false" outlineLevel="0" max="20" min="19" style="1" width="8"/>
    <col collapsed="false" customWidth="true" hidden="false" outlineLevel="0" max="21" min="21" style="1" width="9"/>
    <col collapsed="false" customWidth="true" hidden="false" outlineLevel="0" max="22" min="22" style="1" width="34"/>
    <col collapsed="false" customWidth="true" hidden="false" outlineLevel="0" max="24" min="23" style="1" width="11"/>
    <col collapsed="false" customWidth="true" hidden="false" outlineLevel="0" max="25" min="25" style="1" width="10"/>
    <col collapsed="false" customWidth="true" hidden="false" outlineLevel="0" max="26" min="26" style="1" width="11"/>
    <col collapsed="false" customWidth="true" hidden="false" outlineLevel="0" max="27" min="27" style="1" width="44"/>
  </cols>
  <sheetData>
    <row r="1" customFormat="false" ht="31.5" hidden="false" customHeight="true" outlineLevel="0" collapsed="false">
      <c r="A1" s="10" t="s">
        <v>50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24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26</v>
      </c>
      <c r="S1" s="10" t="s">
        <v>66</v>
      </c>
      <c r="T1" s="10" t="s">
        <v>67</v>
      </c>
      <c r="U1" s="10" t="s">
        <v>68</v>
      </c>
      <c r="V1" s="10" t="s">
        <v>69</v>
      </c>
      <c r="W1" s="10" t="s">
        <v>70</v>
      </c>
      <c r="X1" s="10" t="s">
        <v>71</v>
      </c>
      <c r="Y1" s="10" t="s">
        <v>72</v>
      </c>
      <c r="Z1" s="10" t="s">
        <v>73</v>
      </c>
      <c r="AA1" s="10" t="s">
        <v>74</v>
      </c>
    </row>
    <row r="2" customFormat="false" ht="63.75" hidden="false" customHeight="true" outlineLevel="0" collapsed="false">
      <c r="A2" s="11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1" t="s">
        <v>83</v>
      </c>
      <c r="J2" s="11" t="s">
        <v>84</v>
      </c>
      <c r="K2" s="11" t="s">
        <v>85</v>
      </c>
      <c r="L2" s="13" t="s">
        <v>86</v>
      </c>
      <c r="M2" s="13" t="s">
        <v>87</v>
      </c>
      <c r="N2" s="12" t="s">
        <v>88</v>
      </c>
      <c r="O2" s="12" t="s">
        <v>89</v>
      </c>
      <c r="P2" s="11" t="s">
        <v>90</v>
      </c>
      <c r="Q2" s="11" t="s">
        <v>91</v>
      </c>
      <c r="R2" s="11" t="s">
        <v>92</v>
      </c>
      <c r="S2" s="11"/>
      <c r="T2" s="11"/>
      <c r="U2" s="11"/>
      <c r="V2" s="12" t="s">
        <v>93</v>
      </c>
      <c r="W2" s="11" t="s">
        <v>94</v>
      </c>
      <c r="X2" s="12" t="s">
        <v>33</v>
      </c>
      <c r="Y2" s="12" t="s">
        <v>95</v>
      </c>
      <c r="Z2" s="11" t="s">
        <v>94</v>
      </c>
      <c r="AA2" s="11" t="s">
        <v>96</v>
      </c>
    </row>
    <row r="3" customFormat="false" ht="63.75" hidden="false" customHeight="true" outlineLevel="0" collapsed="false">
      <c r="A3" s="14" t="s">
        <v>97</v>
      </c>
      <c r="B3" s="15" t="s">
        <v>98</v>
      </c>
      <c r="C3" s="15" t="s">
        <v>77</v>
      </c>
      <c r="D3" s="15" t="s">
        <v>78</v>
      </c>
      <c r="E3" s="15" t="s">
        <v>99</v>
      </c>
      <c r="F3" s="15" t="s">
        <v>80</v>
      </c>
      <c r="G3" s="15" t="s">
        <v>81</v>
      </c>
      <c r="H3" s="15" t="s">
        <v>100</v>
      </c>
      <c r="I3" s="14" t="s">
        <v>101</v>
      </c>
      <c r="J3" s="14" t="s">
        <v>102</v>
      </c>
      <c r="K3" s="15" t="s">
        <v>103</v>
      </c>
      <c r="L3" s="16" t="s">
        <v>104</v>
      </c>
      <c r="M3" s="16" t="s">
        <v>105</v>
      </c>
      <c r="N3" s="15" t="s">
        <v>106</v>
      </c>
      <c r="O3" s="15" t="s">
        <v>107</v>
      </c>
      <c r="P3" s="14" t="s">
        <v>108</v>
      </c>
      <c r="Q3" s="14" t="s">
        <v>109</v>
      </c>
      <c r="R3" s="14" t="s">
        <v>92</v>
      </c>
      <c r="S3" s="14"/>
      <c r="T3" s="14"/>
      <c r="U3" s="14"/>
      <c r="V3" s="15" t="s">
        <v>93</v>
      </c>
      <c r="W3" s="14" t="s">
        <v>94</v>
      </c>
      <c r="X3" s="15" t="s">
        <v>33</v>
      </c>
      <c r="Y3" s="14"/>
      <c r="Z3" s="14" t="s">
        <v>94</v>
      </c>
      <c r="AA3" s="15" t="s">
        <v>110</v>
      </c>
    </row>
    <row r="4" customFormat="false" ht="63.75" hidden="false" customHeight="true" outlineLevel="0" collapsed="false">
      <c r="A4" s="14" t="s">
        <v>111</v>
      </c>
      <c r="B4" s="15" t="s">
        <v>112</v>
      </c>
      <c r="C4" s="15" t="s">
        <v>77</v>
      </c>
      <c r="D4" s="15" t="s">
        <v>78</v>
      </c>
      <c r="E4" s="15" t="s">
        <v>113</v>
      </c>
      <c r="F4" s="15" t="s">
        <v>80</v>
      </c>
      <c r="G4" s="15" t="s">
        <v>114</v>
      </c>
      <c r="H4" s="15" t="s">
        <v>115</v>
      </c>
      <c r="I4" s="14" t="s">
        <v>116</v>
      </c>
      <c r="J4" s="14" t="s">
        <v>117</v>
      </c>
      <c r="K4" s="14"/>
      <c r="L4" s="15" t="s">
        <v>118</v>
      </c>
      <c r="M4" s="15" t="s">
        <v>119</v>
      </c>
      <c r="N4" s="15" t="s">
        <v>120</v>
      </c>
      <c r="O4" s="15" t="s">
        <v>121</v>
      </c>
      <c r="P4" s="14" t="s">
        <v>122</v>
      </c>
      <c r="Q4" s="14" t="s">
        <v>123</v>
      </c>
      <c r="R4" s="14" t="s">
        <v>92</v>
      </c>
      <c r="S4" s="14"/>
      <c r="T4" s="14"/>
      <c r="U4" s="14"/>
      <c r="V4" s="15" t="s">
        <v>124</v>
      </c>
      <c r="W4" s="14" t="s">
        <v>94</v>
      </c>
      <c r="X4" s="15" t="s">
        <v>33</v>
      </c>
      <c r="Y4" s="14"/>
      <c r="Z4" s="14" t="s">
        <v>94</v>
      </c>
      <c r="AA4" s="15" t="s">
        <v>125</v>
      </c>
    </row>
    <row r="5" customFormat="false" ht="63.75" hidden="false" customHeight="true" outlineLevel="0" collapsed="false">
      <c r="A5" s="14" t="s">
        <v>126</v>
      </c>
      <c r="B5" s="15" t="s">
        <v>127</v>
      </c>
      <c r="C5" s="15" t="s">
        <v>77</v>
      </c>
      <c r="D5" s="15" t="s">
        <v>78</v>
      </c>
      <c r="E5" s="15" t="s">
        <v>128</v>
      </c>
      <c r="F5" s="15" t="s">
        <v>80</v>
      </c>
      <c r="G5" s="15" t="s">
        <v>129</v>
      </c>
      <c r="H5" s="15" t="s">
        <v>130</v>
      </c>
      <c r="I5" s="14" t="s">
        <v>131</v>
      </c>
      <c r="J5" s="14" t="s">
        <v>132</v>
      </c>
      <c r="K5" s="14"/>
      <c r="L5" s="16" t="s">
        <v>133</v>
      </c>
      <c r="M5" s="16" t="s">
        <v>133</v>
      </c>
      <c r="N5" s="15" t="s">
        <v>134</v>
      </c>
      <c r="O5" s="15" t="s">
        <v>135</v>
      </c>
      <c r="P5" s="14" t="s">
        <v>136</v>
      </c>
      <c r="Q5" s="14" t="s">
        <v>137</v>
      </c>
      <c r="R5" s="14" t="s">
        <v>92</v>
      </c>
      <c r="S5" s="14"/>
      <c r="T5" s="14"/>
      <c r="U5" s="14"/>
      <c r="V5" s="15" t="s">
        <v>138</v>
      </c>
      <c r="W5" s="14" t="s">
        <v>94</v>
      </c>
      <c r="X5" s="15" t="s">
        <v>33</v>
      </c>
      <c r="Y5" s="14"/>
      <c r="Z5" s="14" t="s">
        <v>94</v>
      </c>
      <c r="AA5" s="15" t="s">
        <v>139</v>
      </c>
    </row>
    <row r="6" customFormat="false" ht="63.75" hidden="false" customHeight="true" outlineLevel="0" collapsed="false">
      <c r="A6" s="14" t="s">
        <v>140</v>
      </c>
      <c r="B6" s="15" t="s">
        <v>141</v>
      </c>
      <c r="C6" s="15" t="s">
        <v>77</v>
      </c>
      <c r="D6" s="15" t="s">
        <v>78</v>
      </c>
      <c r="E6" s="15" t="s">
        <v>142</v>
      </c>
      <c r="F6" s="15" t="s">
        <v>80</v>
      </c>
      <c r="G6" s="15" t="s">
        <v>143</v>
      </c>
      <c r="H6" s="15" t="s">
        <v>144</v>
      </c>
      <c r="I6" s="14" t="s">
        <v>145</v>
      </c>
      <c r="J6" s="14" t="s">
        <v>146</v>
      </c>
      <c r="K6" s="14"/>
      <c r="L6" s="14" t="s">
        <v>147</v>
      </c>
      <c r="M6" s="16" t="s">
        <v>148</v>
      </c>
      <c r="N6" s="15" t="s">
        <v>149</v>
      </c>
      <c r="O6" s="15" t="s">
        <v>150</v>
      </c>
      <c r="P6" s="14" t="s">
        <v>151</v>
      </c>
      <c r="Q6" s="14" t="s">
        <v>152</v>
      </c>
      <c r="R6" s="14" t="s">
        <v>92</v>
      </c>
      <c r="S6" s="14"/>
      <c r="T6" s="14"/>
      <c r="U6" s="14"/>
      <c r="V6" s="15" t="s">
        <v>153</v>
      </c>
      <c r="W6" s="14" t="s">
        <v>154</v>
      </c>
      <c r="X6" s="15" t="s">
        <v>35</v>
      </c>
      <c r="Y6" s="14"/>
      <c r="Z6" s="14" t="s">
        <v>94</v>
      </c>
      <c r="AA6" s="15" t="s">
        <v>155</v>
      </c>
    </row>
    <row r="7" customFormat="false" ht="63.75" hidden="false" customHeight="true" outlineLevel="0" collapsed="false">
      <c r="A7" s="14" t="s">
        <v>156</v>
      </c>
      <c r="B7" s="15" t="s">
        <v>157</v>
      </c>
      <c r="C7" s="15" t="s">
        <v>77</v>
      </c>
      <c r="D7" s="15" t="s">
        <v>158</v>
      </c>
      <c r="E7" s="15" t="s">
        <v>159</v>
      </c>
      <c r="F7" s="15" t="s">
        <v>80</v>
      </c>
      <c r="G7" s="15" t="s">
        <v>129</v>
      </c>
      <c r="H7" s="15" t="s">
        <v>160</v>
      </c>
      <c r="I7" s="14" t="s">
        <v>161</v>
      </c>
      <c r="J7" s="14" t="s">
        <v>162</v>
      </c>
      <c r="K7" s="14"/>
      <c r="L7" s="16" t="s">
        <v>163</v>
      </c>
      <c r="M7" s="16" t="s">
        <v>164</v>
      </c>
      <c r="N7" s="15" t="s">
        <v>165</v>
      </c>
      <c r="O7" s="15" t="s">
        <v>166</v>
      </c>
      <c r="P7" s="14" t="s">
        <v>167</v>
      </c>
      <c r="Q7" s="14" t="s">
        <v>168</v>
      </c>
      <c r="R7" s="14" t="s">
        <v>92</v>
      </c>
      <c r="S7" s="14"/>
      <c r="T7" s="14"/>
      <c r="U7" s="14"/>
      <c r="V7" s="15" t="s">
        <v>169</v>
      </c>
      <c r="W7" s="14" t="s">
        <v>94</v>
      </c>
      <c r="X7" s="15" t="s">
        <v>35</v>
      </c>
      <c r="Y7" s="14"/>
      <c r="Z7" s="14" t="s">
        <v>94</v>
      </c>
      <c r="AA7" s="14"/>
    </row>
    <row r="8" customFormat="false" ht="63.75" hidden="false" customHeight="true" outlineLevel="0" collapsed="false">
      <c r="A8" s="14" t="s">
        <v>170</v>
      </c>
      <c r="B8" s="15" t="s">
        <v>171</v>
      </c>
      <c r="C8" s="15" t="s">
        <v>77</v>
      </c>
      <c r="D8" s="15" t="s">
        <v>78</v>
      </c>
      <c r="E8" s="15" t="s">
        <v>172</v>
      </c>
      <c r="F8" s="15" t="s">
        <v>80</v>
      </c>
      <c r="G8" s="15" t="s">
        <v>173</v>
      </c>
      <c r="H8" s="15" t="s">
        <v>174</v>
      </c>
      <c r="I8" s="14" t="s">
        <v>175</v>
      </c>
      <c r="J8" s="14" t="s">
        <v>176</v>
      </c>
      <c r="K8" s="14"/>
      <c r="L8" s="14" t="s">
        <v>177</v>
      </c>
      <c r="M8" s="16" t="s">
        <v>178</v>
      </c>
      <c r="N8" s="15" t="s">
        <v>179</v>
      </c>
      <c r="O8" s="15" t="s">
        <v>180</v>
      </c>
      <c r="P8" s="14" t="s">
        <v>181</v>
      </c>
      <c r="Q8" s="14" t="s">
        <v>182</v>
      </c>
      <c r="R8" s="14" t="s">
        <v>92</v>
      </c>
      <c r="S8" s="14"/>
      <c r="T8" s="14"/>
      <c r="U8" s="14"/>
      <c r="V8" s="15" t="s">
        <v>169</v>
      </c>
      <c r="W8" s="14" t="s">
        <v>94</v>
      </c>
      <c r="X8" s="15" t="s">
        <v>35</v>
      </c>
      <c r="Y8" s="14"/>
      <c r="Z8" s="14" t="s">
        <v>94</v>
      </c>
      <c r="AA8" s="14"/>
    </row>
    <row r="9" customFormat="false" ht="63.75" hidden="false" customHeight="true" outlineLevel="0" collapsed="false">
      <c r="A9" s="14" t="s">
        <v>183</v>
      </c>
      <c r="B9" s="15" t="s">
        <v>184</v>
      </c>
      <c r="C9" s="15" t="s">
        <v>185</v>
      </c>
      <c r="D9" s="15" t="s">
        <v>186</v>
      </c>
      <c r="E9" s="15" t="s">
        <v>187</v>
      </c>
      <c r="F9" s="15" t="s">
        <v>80</v>
      </c>
      <c r="G9" s="15" t="s">
        <v>129</v>
      </c>
      <c r="H9" s="15" t="s">
        <v>188</v>
      </c>
      <c r="I9" s="14" t="s">
        <v>189</v>
      </c>
      <c r="J9" s="14" t="s">
        <v>190</v>
      </c>
      <c r="K9" s="15" t="s">
        <v>191</v>
      </c>
      <c r="L9" s="16" t="s">
        <v>192</v>
      </c>
      <c r="M9" s="16" t="s">
        <v>193</v>
      </c>
      <c r="N9" s="15" t="s">
        <v>194</v>
      </c>
      <c r="O9" s="15" t="s">
        <v>195</v>
      </c>
      <c r="P9" s="14" t="s">
        <v>196</v>
      </c>
      <c r="Q9" s="14" t="s">
        <v>197</v>
      </c>
      <c r="R9" s="14" t="s">
        <v>92</v>
      </c>
      <c r="S9" s="14"/>
      <c r="T9" s="14"/>
      <c r="U9" s="14"/>
      <c r="V9" s="15" t="s">
        <v>169</v>
      </c>
      <c r="W9" s="14" t="s">
        <v>94</v>
      </c>
      <c r="X9" s="15" t="s">
        <v>35</v>
      </c>
      <c r="Y9" s="14"/>
      <c r="Z9" s="14" t="s">
        <v>94</v>
      </c>
      <c r="AA9" s="14"/>
    </row>
    <row r="10" customFormat="false" ht="63.75" hidden="false" customHeight="true" outlineLevel="0" collapsed="false">
      <c r="A10" s="14" t="s">
        <v>198</v>
      </c>
      <c r="B10" s="15" t="s">
        <v>199</v>
      </c>
      <c r="C10" s="15" t="s">
        <v>185</v>
      </c>
      <c r="D10" s="15" t="s">
        <v>200</v>
      </c>
      <c r="E10" s="15" t="s">
        <v>201</v>
      </c>
      <c r="F10" s="15" t="s">
        <v>80</v>
      </c>
      <c r="G10" s="15" t="s">
        <v>173</v>
      </c>
      <c r="H10" s="15" t="s">
        <v>202</v>
      </c>
      <c r="I10" s="14" t="s">
        <v>203</v>
      </c>
      <c r="J10" s="14" t="s">
        <v>204</v>
      </c>
      <c r="K10" s="14"/>
      <c r="L10" s="16" t="s">
        <v>205</v>
      </c>
      <c r="M10" s="16" t="s">
        <v>206</v>
      </c>
      <c r="N10" s="15" t="s">
        <v>207</v>
      </c>
      <c r="O10" s="15" t="s">
        <v>208</v>
      </c>
      <c r="P10" s="14" t="s">
        <v>209</v>
      </c>
      <c r="Q10" s="14" t="s">
        <v>210</v>
      </c>
      <c r="R10" s="14" t="s">
        <v>92</v>
      </c>
      <c r="S10" s="14"/>
      <c r="T10" s="14"/>
      <c r="U10" s="14"/>
      <c r="V10" s="15" t="s">
        <v>169</v>
      </c>
      <c r="W10" s="14" t="s">
        <v>94</v>
      </c>
      <c r="X10" s="15" t="s">
        <v>35</v>
      </c>
      <c r="Y10" s="14"/>
      <c r="Z10" s="14" t="s">
        <v>94</v>
      </c>
      <c r="AA10" s="14"/>
    </row>
    <row r="11" customFormat="false" ht="63.75" hidden="false" customHeight="true" outlineLevel="0" collapsed="false">
      <c r="A11" s="14" t="s">
        <v>211</v>
      </c>
      <c r="B11" s="15" t="s">
        <v>212</v>
      </c>
      <c r="C11" s="15" t="s">
        <v>185</v>
      </c>
      <c r="D11" s="15" t="s">
        <v>213</v>
      </c>
      <c r="E11" s="15" t="s">
        <v>214</v>
      </c>
      <c r="F11" s="15" t="s">
        <v>215</v>
      </c>
      <c r="G11" s="15" t="s">
        <v>114</v>
      </c>
      <c r="H11" s="15" t="s">
        <v>216</v>
      </c>
      <c r="I11" s="14" t="s">
        <v>217</v>
      </c>
      <c r="J11" s="14" t="s">
        <v>218</v>
      </c>
      <c r="K11" s="14"/>
      <c r="L11" s="14" t="s">
        <v>219</v>
      </c>
      <c r="M11" s="16" t="s">
        <v>193</v>
      </c>
      <c r="N11" s="15" t="s">
        <v>220</v>
      </c>
      <c r="O11" s="15" t="s">
        <v>221</v>
      </c>
      <c r="P11" s="14" t="s">
        <v>222</v>
      </c>
      <c r="Q11" s="14" t="s">
        <v>223</v>
      </c>
      <c r="R11" s="14" t="s">
        <v>224</v>
      </c>
      <c r="S11" s="14"/>
      <c r="T11" s="14"/>
      <c r="U11" s="14"/>
      <c r="V11" s="15" t="s">
        <v>169</v>
      </c>
      <c r="W11" s="14" t="s">
        <v>94</v>
      </c>
      <c r="X11" s="15" t="s">
        <v>35</v>
      </c>
      <c r="Y11" s="14"/>
      <c r="Z11" s="14" t="s">
        <v>94</v>
      </c>
      <c r="AA11" s="15" t="s">
        <v>225</v>
      </c>
    </row>
    <row r="12" customFormat="false" ht="63.75" hidden="false" customHeight="true" outlineLevel="0" collapsed="false">
      <c r="A12" s="14" t="s">
        <v>226</v>
      </c>
      <c r="B12" s="15" t="s">
        <v>227</v>
      </c>
      <c r="C12" s="15" t="s">
        <v>185</v>
      </c>
      <c r="D12" s="15" t="s">
        <v>228</v>
      </c>
      <c r="E12" s="15" t="s">
        <v>229</v>
      </c>
      <c r="F12" s="15" t="s">
        <v>80</v>
      </c>
      <c r="G12" s="15" t="s">
        <v>129</v>
      </c>
      <c r="H12" s="15" t="s">
        <v>230</v>
      </c>
      <c r="I12" s="14" t="s">
        <v>189</v>
      </c>
      <c r="J12" s="14" t="s">
        <v>231</v>
      </c>
      <c r="K12" s="15" t="s">
        <v>232</v>
      </c>
      <c r="L12" s="16" t="s">
        <v>205</v>
      </c>
      <c r="M12" s="16" t="s">
        <v>206</v>
      </c>
      <c r="N12" s="15" t="s">
        <v>233</v>
      </c>
      <c r="O12" s="15" t="s">
        <v>234</v>
      </c>
      <c r="P12" s="14" t="s">
        <v>235</v>
      </c>
      <c r="Q12" s="14" t="s">
        <v>236</v>
      </c>
      <c r="R12" s="14" t="s">
        <v>237</v>
      </c>
      <c r="S12" s="14"/>
      <c r="T12" s="14"/>
      <c r="U12" s="14"/>
      <c r="V12" s="15" t="s">
        <v>169</v>
      </c>
      <c r="W12" s="14" t="s">
        <v>94</v>
      </c>
      <c r="X12" s="15" t="s">
        <v>35</v>
      </c>
      <c r="Y12" s="14"/>
      <c r="Z12" s="14" t="s">
        <v>94</v>
      </c>
      <c r="AA12" s="14"/>
    </row>
    <row r="13" customFormat="false" ht="63.75" hidden="false" customHeight="true" outlineLevel="0" collapsed="false">
      <c r="A13" s="14" t="s">
        <v>238</v>
      </c>
      <c r="B13" s="15" t="s">
        <v>239</v>
      </c>
      <c r="C13" s="15" t="s">
        <v>240</v>
      </c>
      <c r="D13" s="15" t="s">
        <v>241</v>
      </c>
      <c r="E13" s="15" t="s">
        <v>242</v>
      </c>
      <c r="F13" s="15" t="s">
        <v>243</v>
      </c>
      <c r="G13" s="15" t="s">
        <v>244</v>
      </c>
      <c r="H13" s="15" t="s">
        <v>245</v>
      </c>
      <c r="I13" s="14" t="s">
        <v>101</v>
      </c>
      <c r="J13" s="14" t="s">
        <v>246</v>
      </c>
      <c r="K13" s="14"/>
      <c r="L13" s="16" t="s">
        <v>247</v>
      </c>
      <c r="M13" s="16" t="s">
        <v>248</v>
      </c>
      <c r="N13" s="15" t="s">
        <v>249</v>
      </c>
      <c r="O13" s="15" t="s">
        <v>250</v>
      </c>
      <c r="P13" s="14" t="s">
        <v>251</v>
      </c>
      <c r="Q13" s="14"/>
      <c r="R13" s="14" t="s">
        <v>237</v>
      </c>
      <c r="S13" s="14"/>
      <c r="T13" s="14"/>
      <c r="U13" s="14"/>
      <c r="V13" s="15" t="s">
        <v>252</v>
      </c>
      <c r="W13" s="14" t="s">
        <v>94</v>
      </c>
      <c r="X13" s="15" t="s">
        <v>35</v>
      </c>
      <c r="Y13" s="14"/>
      <c r="Z13" s="14" t="s">
        <v>94</v>
      </c>
      <c r="AA13" s="14" t="s">
        <v>253</v>
      </c>
    </row>
    <row r="14" customFormat="false" ht="63.75" hidden="false" customHeight="true" outlineLevel="0" collapsed="false">
      <c r="A14" s="14" t="s">
        <v>254</v>
      </c>
      <c r="B14" s="15" t="s">
        <v>255</v>
      </c>
      <c r="C14" s="15" t="s">
        <v>240</v>
      </c>
      <c r="D14" s="15" t="s">
        <v>241</v>
      </c>
      <c r="E14" s="15" t="s">
        <v>256</v>
      </c>
      <c r="F14" s="15" t="s">
        <v>215</v>
      </c>
      <c r="G14" s="15" t="s">
        <v>114</v>
      </c>
      <c r="H14" s="15" t="s">
        <v>257</v>
      </c>
      <c r="I14" s="14" t="s">
        <v>217</v>
      </c>
      <c r="J14" s="14" t="s">
        <v>258</v>
      </c>
      <c r="K14" s="14"/>
      <c r="L14" s="16" t="s">
        <v>133</v>
      </c>
      <c r="M14" s="16" t="s">
        <v>133</v>
      </c>
      <c r="N14" s="15" t="s">
        <v>259</v>
      </c>
      <c r="O14" s="15" t="s">
        <v>260</v>
      </c>
      <c r="P14" s="14" t="s">
        <v>261</v>
      </c>
      <c r="Q14" s="14"/>
      <c r="R14" s="14" t="s">
        <v>224</v>
      </c>
      <c r="S14" s="14"/>
      <c r="T14" s="14"/>
      <c r="U14" s="14"/>
      <c r="V14" s="15" t="s">
        <v>169</v>
      </c>
      <c r="W14" s="14" t="s">
        <v>94</v>
      </c>
      <c r="X14" s="15" t="s">
        <v>35</v>
      </c>
      <c r="Y14" s="14"/>
      <c r="Z14" s="14" t="s">
        <v>94</v>
      </c>
      <c r="AA14" s="15" t="s">
        <v>262</v>
      </c>
    </row>
    <row r="15" customFormat="false" ht="63.75" hidden="false" customHeight="true" outlineLevel="0" collapsed="false">
      <c r="A15" s="14" t="s">
        <v>263</v>
      </c>
      <c r="B15" s="15" t="s">
        <v>264</v>
      </c>
      <c r="C15" s="15" t="s">
        <v>240</v>
      </c>
      <c r="D15" s="15" t="s">
        <v>265</v>
      </c>
      <c r="E15" s="15" t="s">
        <v>266</v>
      </c>
      <c r="F15" s="15" t="s">
        <v>80</v>
      </c>
      <c r="G15" s="15" t="s">
        <v>114</v>
      </c>
      <c r="H15" s="15" t="s">
        <v>267</v>
      </c>
      <c r="I15" s="14"/>
      <c r="J15" s="14" t="s">
        <v>268</v>
      </c>
      <c r="K15" s="14"/>
      <c r="L15" s="16" t="s">
        <v>205</v>
      </c>
      <c r="M15" s="16" t="s">
        <v>206</v>
      </c>
      <c r="N15" s="15" t="s">
        <v>269</v>
      </c>
      <c r="O15" s="15" t="s">
        <v>270</v>
      </c>
      <c r="P15" s="14" t="s">
        <v>271</v>
      </c>
      <c r="Q15" s="14" t="s">
        <v>272</v>
      </c>
      <c r="R15" s="14" t="s">
        <v>237</v>
      </c>
      <c r="S15" s="14"/>
      <c r="T15" s="14"/>
      <c r="U15" s="14"/>
      <c r="V15" s="15" t="s">
        <v>273</v>
      </c>
      <c r="W15" s="14" t="s">
        <v>94</v>
      </c>
      <c r="X15" s="15" t="s">
        <v>33</v>
      </c>
      <c r="Y15" s="14"/>
      <c r="Z15" s="14" t="s">
        <v>94</v>
      </c>
      <c r="AA15" s="15" t="s">
        <v>274</v>
      </c>
    </row>
    <row r="16" customFormat="false" ht="63.75" hidden="false" customHeight="true" outlineLevel="0" collapsed="false">
      <c r="A16" s="14" t="s">
        <v>275</v>
      </c>
      <c r="B16" s="15" t="s">
        <v>276</v>
      </c>
      <c r="C16" s="15" t="s">
        <v>240</v>
      </c>
      <c r="D16" s="15" t="s">
        <v>265</v>
      </c>
      <c r="E16" s="15" t="s">
        <v>277</v>
      </c>
      <c r="F16" s="15" t="s">
        <v>80</v>
      </c>
      <c r="G16" s="15" t="s">
        <v>114</v>
      </c>
      <c r="H16" s="15" t="s">
        <v>278</v>
      </c>
      <c r="I16" s="14" t="s">
        <v>279</v>
      </c>
      <c r="J16" s="14" t="s">
        <v>280</v>
      </c>
      <c r="K16" s="14"/>
      <c r="L16" s="16" t="s">
        <v>133</v>
      </c>
      <c r="M16" s="16" t="s">
        <v>133</v>
      </c>
      <c r="N16" s="15" t="s">
        <v>281</v>
      </c>
      <c r="O16" s="15" t="s">
        <v>282</v>
      </c>
      <c r="P16" s="14" t="s">
        <v>283</v>
      </c>
      <c r="Q16" s="14" t="s">
        <v>284</v>
      </c>
      <c r="R16" s="14" t="s">
        <v>237</v>
      </c>
      <c r="S16" s="14"/>
      <c r="T16" s="14"/>
      <c r="U16" s="14"/>
      <c r="V16" s="15" t="s">
        <v>169</v>
      </c>
      <c r="W16" s="14" t="s">
        <v>94</v>
      </c>
      <c r="X16" s="15" t="s">
        <v>35</v>
      </c>
      <c r="Y16" s="14"/>
      <c r="Z16" s="14" t="s">
        <v>94</v>
      </c>
      <c r="AA16" s="14"/>
    </row>
    <row r="17" customFormat="false" ht="63.75" hidden="false" customHeight="true" outlineLevel="0" collapsed="false">
      <c r="A17" s="14" t="s">
        <v>285</v>
      </c>
      <c r="B17" s="15" t="s">
        <v>286</v>
      </c>
      <c r="C17" s="15" t="s">
        <v>240</v>
      </c>
      <c r="D17" s="15" t="s">
        <v>265</v>
      </c>
      <c r="E17" s="15" t="s">
        <v>277</v>
      </c>
      <c r="F17" s="15" t="s">
        <v>80</v>
      </c>
      <c r="G17" s="15" t="s">
        <v>129</v>
      </c>
      <c r="H17" s="15" t="s">
        <v>287</v>
      </c>
      <c r="I17" s="14"/>
      <c r="J17" s="14" t="s">
        <v>288</v>
      </c>
      <c r="K17" s="14"/>
      <c r="L17" s="16" t="s">
        <v>133</v>
      </c>
      <c r="M17" s="16" t="s">
        <v>133</v>
      </c>
      <c r="N17" s="15" t="s">
        <v>289</v>
      </c>
      <c r="O17" s="15" t="s">
        <v>282</v>
      </c>
      <c r="P17" s="14" t="s">
        <v>283</v>
      </c>
      <c r="Q17" s="14" t="s">
        <v>290</v>
      </c>
      <c r="R17" s="14" t="s">
        <v>237</v>
      </c>
      <c r="S17" s="14"/>
      <c r="T17" s="14"/>
      <c r="U17" s="14"/>
      <c r="V17" s="15" t="s">
        <v>291</v>
      </c>
      <c r="W17" s="14" t="s">
        <v>94</v>
      </c>
      <c r="X17" s="15" t="s">
        <v>33</v>
      </c>
      <c r="Y17" s="14"/>
      <c r="Z17" s="14" t="s">
        <v>94</v>
      </c>
      <c r="AA17" s="15" t="s">
        <v>292</v>
      </c>
    </row>
    <row r="18" customFormat="false" ht="63.75" hidden="false" customHeight="true" outlineLevel="0" collapsed="false">
      <c r="A18" s="14" t="s">
        <v>293</v>
      </c>
      <c r="B18" s="15" t="s">
        <v>294</v>
      </c>
      <c r="C18" s="15" t="s">
        <v>295</v>
      </c>
      <c r="D18" s="15" t="s">
        <v>296</v>
      </c>
      <c r="E18" s="15" t="s">
        <v>297</v>
      </c>
      <c r="F18" s="15" t="s">
        <v>80</v>
      </c>
      <c r="G18" s="15" t="s">
        <v>114</v>
      </c>
      <c r="H18" s="15" t="s">
        <v>298</v>
      </c>
      <c r="I18" s="14" t="s">
        <v>299</v>
      </c>
      <c r="J18" s="14" t="s">
        <v>300</v>
      </c>
      <c r="K18" s="14"/>
      <c r="L18" s="16" t="s">
        <v>205</v>
      </c>
      <c r="M18" s="16" t="s">
        <v>206</v>
      </c>
      <c r="N18" s="15" t="s">
        <v>301</v>
      </c>
      <c r="O18" s="15" t="s">
        <v>302</v>
      </c>
      <c r="P18" s="14" t="s">
        <v>303</v>
      </c>
      <c r="Q18" s="14" t="s">
        <v>304</v>
      </c>
      <c r="R18" s="14" t="s">
        <v>92</v>
      </c>
      <c r="S18" s="14"/>
      <c r="T18" s="14"/>
      <c r="U18" s="14"/>
      <c r="V18" s="15" t="s">
        <v>305</v>
      </c>
      <c r="W18" s="14" t="s">
        <v>94</v>
      </c>
      <c r="X18" s="15" t="s">
        <v>35</v>
      </c>
      <c r="Y18" s="14"/>
      <c r="Z18" s="14" t="s">
        <v>94</v>
      </c>
      <c r="AA18" s="14" t="s">
        <v>306</v>
      </c>
    </row>
    <row r="19" customFormat="false" ht="63.75" hidden="false" customHeight="true" outlineLevel="0" collapsed="false">
      <c r="A19" s="14" t="s">
        <v>307</v>
      </c>
      <c r="B19" s="15" t="s">
        <v>308</v>
      </c>
      <c r="C19" s="15" t="s">
        <v>309</v>
      </c>
      <c r="D19" s="15" t="s">
        <v>296</v>
      </c>
      <c r="E19" s="15" t="s">
        <v>309</v>
      </c>
      <c r="F19" s="15" t="s">
        <v>215</v>
      </c>
      <c r="G19" s="15" t="s">
        <v>114</v>
      </c>
      <c r="H19" s="15" t="s">
        <v>298</v>
      </c>
      <c r="I19" s="14" t="s">
        <v>299</v>
      </c>
      <c r="J19" s="14" t="s">
        <v>310</v>
      </c>
      <c r="K19" s="14"/>
      <c r="L19" s="16" t="s">
        <v>205</v>
      </c>
      <c r="M19" s="16" t="s">
        <v>206</v>
      </c>
      <c r="N19" s="15" t="s">
        <v>311</v>
      </c>
      <c r="O19" s="15" t="s">
        <v>312</v>
      </c>
      <c r="P19" s="14" t="s">
        <v>313</v>
      </c>
      <c r="Q19" s="14"/>
      <c r="R19" s="14" t="s">
        <v>224</v>
      </c>
      <c r="S19" s="14"/>
      <c r="T19" s="14"/>
      <c r="U19" s="14"/>
      <c r="V19" s="15" t="s">
        <v>169</v>
      </c>
      <c r="W19" s="14" t="s">
        <v>94</v>
      </c>
      <c r="X19" s="15" t="s">
        <v>35</v>
      </c>
      <c r="Y19" s="14"/>
      <c r="Z19" s="14" t="s">
        <v>94</v>
      </c>
      <c r="AA19" s="15" t="s">
        <v>314</v>
      </c>
    </row>
    <row r="20" customFormat="false" ht="15" hidden="false" customHeight="true" outlineLevel="0" collapsed="false">
      <c r="A20" s="14"/>
      <c r="B20" s="14"/>
      <c r="C20" s="15"/>
      <c r="D20" s="15"/>
      <c r="E20" s="14"/>
      <c r="F20" s="15"/>
      <c r="G20" s="15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5"/>
      <c r="Y20" s="14"/>
      <c r="Z20" s="14"/>
      <c r="AA20" s="14"/>
    </row>
    <row r="21" customFormat="false" ht="15" hidden="false" customHeight="true" outlineLevel="0" collapsed="false">
      <c r="A21" s="14"/>
      <c r="B21" s="14"/>
      <c r="C21" s="15"/>
      <c r="D21" s="15"/>
      <c r="E21" s="14"/>
      <c r="F21" s="15"/>
      <c r="G21" s="15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  <c r="Y21" s="14"/>
      <c r="Z21" s="14"/>
      <c r="AA21" s="14"/>
    </row>
    <row r="22" customFormat="false" ht="15" hidden="false" customHeight="true" outlineLevel="0" collapsed="false">
      <c r="A22" s="14"/>
      <c r="B22" s="14"/>
      <c r="C22" s="15"/>
      <c r="D22" s="15"/>
      <c r="E22" s="14"/>
      <c r="F22" s="15"/>
      <c r="G22" s="15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  <c r="Y22" s="14"/>
      <c r="Z22" s="14"/>
      <c r="AA22" s="14"/>
    </row>
    <row r="23" customFormat="false" ht="15" hidden="false" customHeight="true" outlineLevel="0" collapsed="false">
      <c r="A23" s="14"/>
      <c r="B23" s="14"/>
      <c r="C23" s="15"/>
      <c r="D23" s="15"/>
      <c r="E23" s="14"/>
      <c r="F23" s="15"/>
      <c r="G23" s="15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/>
      <c r="Y23" s="14"/>
      <c r="Z23" s="14"/>
      <c r="AA23" s="14"/>
    </row>
    <row r="24" customFormat="false" ht="15" hidden="false" customHeight="true" outlineLevel="0" collapsed="false">
      <c r="A24" s="14"/>
      <c r="B24" s="14"/>
      <c r="C24" s="15"/>
      <c r="D24" s="15"/>
      <c r="E24" s="14"/>
      <c r="F24" s="15"/>
      <c r="G24" s="15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14"/>
      <c r="Z24" s="14"/>
      <c r="AA24" s="14"/>
    </row>
    <row r="25" customFormat="false" ht="15" hidden="false" customHeight="true" outlineLevel="0" collapsed="false">
      <c r="A25" s="14"/>
      <c r="B25" s="14"/>
      <c r="C25" s="15"/>
      <c r="D25" s="15"/>
      <c r="E25" s="14"/>
      <c r="F25" s="15"/>
      <c r="G25" s="15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  <c r="Y25" s="14"/>
      <c r="Z25" s="14"/>
      <c r="AA25" s="14"/>
    </row>
    <row r="26" customFormat="false" ht="15" hidden="false" customHeight="true" outlineLevel="0" collapsed="false">
      <c r="A26" s="14"/>
      <c r="B26" s="14"/>
      <c r="C26" s="15"/>
      <c r="D26" s="15"/>
      <c r="E26" s="14"/>
      <c r="F26" s="15"/>
      <c r="G26" s="15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5"/>
      <c r="Y26" s="14"/>
      <c r="Z26" s="14"/>
      <c r="AA26" s="14"/>
    </row>
    <row r="27" customFormat="false" ht="15" hidden="false" customHeight="true" outlineLevel="0" collapsed="false">
      <c r="A27" s="14"/>
      <c r="B27" s="14"/>
      <c r="C27" s="15"/>
      <c r="D27" s="15"/>
      <c r="E27" s="14"/>
      <c r="F27" s="15"/>
      <c r="G27" s="15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5"/>
      <c r="Y27" s="14"/>
      <c r="Z27" s="14"/>
      <c r="AA27" s="14"/>
    </row>
    <row r="28" customFormat="false" ht="15" hidden="false" customHeight="true" outlineLevel="0" collapsed="false">
      <c r="A28" s="14"/>
      <c r="B28" s="14"/>
      <c r="C28" s="15"/>
      <c r="D28" s="15"/>
      <c r="E28" s="14"/>
      <c r="F28" s="15"/>
      <c r="G28" s="15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5"/>
      <c r="Y28" s="14"/>
      <c r="Z28" s="14"/>
      <c r="AA28" s="14"/>
    </row>
    <row r="29" customFormat="false" ht="15" hidden="false" customHeight="true" outlineLevel="0" collapsed="false">
      <c r="A29" s="14"/>
      <c r="B29" s="14"/>
      <c r="C29" s="15"/>
      <c r="D29" s="15"/>
      <c r="E29" s="14"/>
      <c r="F29" s="15"/>
      <c r="G29" s="15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5"/>
      <c r="Y29" s="14"/>
      <c r="Z29" s="14"/>
      <c r="AA29" s="14"/>
    </row>
    <row r="30" customFormat="false" ht="15" hidden="false" customHeight="true" outlineLevel="0" collapsed="false">
      <c r="A30" s="14"/>
      <c r="B30" s="14"/>
      <c r="C30" s="15"/>
      <c r="D30" s="15"/>
      <c r="E30" s="14"/>
      <c r="F30" s="15"/>
      <c r="G30" s="15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5"/>
      <c r="Y30" s="14"/>
      <c r="Z30" s="14"/>
      <c r="AA30" s="14"/>
    </row>
    <row r="31" customFormat="false" ht="15" hidden="false" customHeight="true" outlineLevel="0" collapsed="false">
      <c r="A31" s="14"/>
      <c r="B31" s="14"/>
      <c r="C31" s="15"/>
      <c r="D31" s="15"/>
      <c r="E31" s="14"/>
      <c r="F31" s="15"/>
      <c r="G31" s="15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5"/>
      <c r="Y31" s="14"/>
      <c r="Z31" s="14"/>
      <c r="AA31" s="14"/>
    </row>
    <row r="32" customFormat="false" ht="15" hidden="false" customHeight="true" outlineLevel="0" collapsed="false">
      <c r="A32" s="14"/>
      <c r="B32" s="14"/>
      <c r="C32" s="15"/>
      <c r="D32" s="15"/>
      <c r="E32" s="14"/>
      <c r="F32" s="15"/>
      <c r="G32" s="15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5"/>
      <c r="Y32" s="14"/>
      <c r="Z32" s="14"/>
      <c r="AA32" s="14"/>
    </row>
    <row r="33" customFormat="false" ht="15" hidden="false" customHeight="true" outlineLevel="0" collapsed="false">
      <c r="A33" s="14"/>
      <c r="B33" s="14"/>
      <c r="C33" s="15"/>
      <c r="D33" s="15"/>
      <c r="E33" s="14"/>
      <c r="F33" s="15"/>
      <c r="G33" s="15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5"/>
      <c r="Y33" s="14"/>
      <c r="Z33" s="14"/>
      <c r="AA33" s="14"/>
    </row>
    <row r="34" customFormat="false" ht="15" hidden="false" customHeight="true" outlineLevel="0" collapsed="false">
      <c r="A34" s="14"/>
      <c r="B34" s="14"/>
      <c r="C34" s="15"/>
      <c r="D34" s="15"/>
      <c r="E34" s="14"/>
      <c r="F34" s="15"/>
      <c r="G34" s="15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5"/>
      <c r="Y34" s="14"/>
      <c r="Z34" s="14"/>
      <c r="AA34" s="14"/>
    </row>
    <row r="35" customFormat="false" ht="15" hidden="false" customHeight="true" outlineLevel="0" collapsed="false">
      <c r="A35" s="14"/>
      <c r="B35" s="14"/>
      <c r="C35" s="15"/>
      <c r="D35" s="15"/>
      <c r="E35" s="14"/>
      <c r="F35" s="15"/>
      <c r="G35" s="15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5"/>
      <c r="Y35" s="14"/>
      <c r="Z35" s="14"/>
      <c r="AA35" s="14"/>
    </row>
    <row r="36" customFormat="false" ht="15" hidden="false" customHeight="true" outlineLevel="0" collapsed="false">
      <c r="A36" s="14"/>
      <c r="B36" s="14"/>
      <c r="C36" s="15"/>
      <c r="D36" s="15"/>
      <c r="E36" s="14"/>
      <c r="F36" s="15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  <c r="Y36" s="14"/>
      <c r="Z36" s="14"/>
      <c r="AA36" s="14"/>
    </row>
    <row r="37" customFormat="false" ht="15" hidden="false" customHeight="true" outlineLevel="0" collapsed="false">
      <c r="A37" s="14"/>
      <c r="B37" s="14"/>
      <c r="C37" s="15"/>
      <c r="D37" s="15"/>
      <c r="E37" s="14"/>
      <c r="F37" s="15"/>
      <c r="G37" s="15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5"/>
      <c r="Y37" s="14"/>
      <c r="Z37" s="14"/>
      <c r="AA37" s="14"/>
    </row>
    <row r="38" customFormat="false" ht="15" hidden="false" customHeight="true" outlineLevel="0" collapsed="false">
      <c r="A38" s="14"/>
      <c r="B38" s="14"/>
      <c r="C38" s="15"/>
      <c r="D38" s="15"/>
      <c r="E38" s="14"/>
      <c r="F38" s="15"/>
      <c r="G38" s="15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5"/>
      <c r="Y38" s="14"/>
      <c r="Z38" s="14"/>
      <c r="AA38" s="14"/>
    </row>
    <row r="39" customFormat="false" ht="15" hidden="false" customHeight="true" outlineLevel="0" collapsed="false">
      <c r="A39" s="14"/>
      <c r="B39" s="14"/>
      <c r="C39" s="15"/>
      <c r="D39" s="15"/>
      <c r="E39" s="14"/>
      <c r="F39" s="15"/>
      <c r="G39" s="15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  <c r="Y39" s="14"/>
      <c r="Z39" s="14"/>
      <c r="AA39" s="14"/>
    </row>
    <row r="40" customFormat="false" ht="15" hidden="false" customHeight="true" outlineLevel="0" collapsed="false">
      <c r="A40" s="14"/>
      <c r="B40" s="14"/>
      <c r="C40" s="15"/>
      <c r="D40" s="15"/>
      <c r="E40" s="14"/>
      <c r="F40" s="15"/>
      <c r="G40" s="15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5"/>
      <c r="Y40" s="14"/>
      <c r="Z40" s="14"/>
      <c r="AA40" s="14"/>
    </row>
    <row r="41" customFormat="false" ht="15" hidden="false" customHeight="true" outlineLevel="0" collapsed="false">
      <c r="A41" s="14"/>
      <c r="B41" s="14"/>
      <c r="C41" s="15"/>
      <c r="D41" s="15"/>
      <c r="E41" s="14"/>
      <c r="F41" s="15"/>
      <c r="G41" s="15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5"/>
      <c r="Y41" s="14"/>
      <c r="Z41" s="14"/>
      <c r="AA41" s="14"/>
    </row>
    <row r="42" customFormat="false" ht="15" hidden="false" customHeight="true" outlineLevel="0" collapsed="false">
      <c r="A42" s="14"/>
      <c r="B42" s="14"/>
      <c r="C42" s="15"/>
      <c r="D42" s="15"/>
      <c r="E42" s="14"/>
      <c r="F42" s="15"/>
      <c r="G42" s="15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5"/>
      <c r="Y42" s="14"/>
      <c r="Z42" s="14"/>
      <c r="AA42" s="14"/>
    </row>
    <row r="43" customFormat="false" ht="15" hidden="false" customHeight="true" outlineLevel="0" collapsed="false">
      <c r="A43" s="14"/>
      <c r="B43" s="14"/>
      <c r="C43" s="15"/>
      <c r="D43" s="15"/>
      <c r="E43" s="14"/>
      <c r="F43" s="15"/>
      <c r="G43" s="15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5"/>
      <c r="Y43" s="14"/>
      <c r="Z43" s="14"/>
      <c r="AA43" s="14"/>
    </row>
    <row r="44" customFormat="false" ht="15" hidden="false" customHeight="true" outlineLevel="0" collapsed="false">
      <c r="A44" s="14"/>
      <c r="B44" s="14"/>
      <c r="C44" s="15"/>
      <c r="D44" s="15"/>
      <c r="E44" s="14"/>
      <c r="F44" s="15"/>
      <c r="G44" s="15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5"/>
      <c r="Y44" s="14"/>
      <c r="Z44" s="14"/>
      <c r="AA44" s="14"/>
    </row>
    <row r="45" customFormat="false" ht="15" hidden="false" customHeight="true" outlineLevel="0" collapsed="false">
      <c r="A45" s="14"/>
      <c r="B45" s="14"/>
      <c r="C45" s="15"/>
      <c r="D45" s="15"/>
      <c r="E45" s="14"/>
      <c r="F45" s="15"/>
      <c r="G45" s="15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5"/>
      <c r="Y45" s="14"/>
      <c r="Z45" s="14"/>
      <c r="AA45" s="14"/>
    </row>
    <row r="46" customFormat="false" ht="15" hidden="false" customHeight="true" outlineLevel="0" collapsed="false">
      <c r="A46" s="14"/>
      <c r="B46" s="14"/>
      <c r="C46" s="15"/>
      <c r="D46" s="15"/>
      <c r="E46" s="14"/>
      <c r="F46" s="15"/>
      <c r="G46" s="15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5"/>
      <c r="Y46" s="14"/>
      <c r="Z46" s="14"/>
      <c r="AA46" s="14"/>
    </row>
    <row r="47" customFormat="false" ht="15" hidden="false" customHeight="true" outlineLevel="0" collapsed="false">
      <c r="A47" s="14"/>
      <c r="B47" s="14"/>
      <c r="C47" s="15"/>
      <c r="D47" s="15"/>
      <c r="E47" s="14"/>
      <c r="F47" s="15"/>
      <c r="G47" s="15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5"/>
      <c r="Y47" s="14"/>
      <c r="Z47" s="14"/>
      <c r="AA47" s="14"/>
    </row>
    <row r="48" customFormat="false" ht="15" hidden="false" customHeight="true" outlineLevel="0" collapsed="false">
      <c r="A48" s="14"/>
      <c r="B48" s="14"/>
      <c r="C48" s="15"/>
      <c r="D48" s="15"/>
      <c r="E48" s="14"/>
      <c r="F48" s="15"/>
      <c r="G48" s="15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5"/>
      <c r="Y48" s="14"/>
      <c r="Z48" s="14"/>
      <c r="AA48" s="14"/>
    </row>
    <row r="49" customFormat="false" ht="15" hidden="false" customHeight="true" outlineLevel="0" collapsed="false">
      <c r="A49" s="14"/>
      <c r="B49" s="14"/>
      <c r="C49" s="15"/>
      <c r="D49" s="15"/>
      <c r="E49" s="14"/>
      <c r="F49" s="15"/>
      <c r="G49" s="15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5"/>
      <c r="Y49" s="14"/>
      <c r="Z49" s="14"/>
      <c r="AA49" s="14"/>
    </row>
    <row r="50" customFormat="false" ht="15" hidden="false" customHeight="true" outlineLevel="0" collapsed="false">
      <c r="A50" s="14"/>
      <c r="B50" s="14"/>
      <c r="C50" s="15"/>
      <c r="D50" s="15"/>
      <c r="E50" s="14"/>
      <c r="F50" s="15"/>
      <c r="G50" s="15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5"/>
      <c r="Y50" s="14"/>
      <c r="Z50" s="14"/>
      <c r="AA50" s="14"/>
    </row>
    <row r="51" customFormat="false" ht="15" hidden="false" customHeight="true" outlineLevel="0" collapsed="false">
      <c r="A51" s="14"/>
      <c r="B51" s="14"/>
      <c r="C51" s="15"/>
      <c r="D51" s="15"/>
      <c r="E51" s="14"/>
      <c r="F51" s="15"/>
      <c r="G51" s="15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5"/>
      <c r="Y51" s="14"/>
      <c r="Z51" s="14"/>
      <c r="AA51" s="14"/>
    </row>
    <row r="52" customFormat="false" ht="15" hidden="false" customHeight="true" outlineLevel="0" collapsed="false">
      <c r="A52" s="14"/>
      <c r="B52" s="14"/>
      <c r="C52" s="15"/>
      <c r="D52" s="15"/>
      <c r="E52" s="14"/>
      <c r="F52" s="15"/>
      <c r="G52" s="15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5"/>
      <c r="Y52" s="14"/>
      <c r="Z52" s="14"/>
      <c r="AA52" s="14"/>
    </row>
    <row r="53" customFormat="false" ht="15" hidden="false" customHeight="true" outlineLevel="0" collapsed="false">
      <c r="A53" s="14"/>
      <c r="B53" s="14"/>
      <c r="C53" s="15"/>
      <c r="D53" s="15"/>
      <c r="E53" s="14"/>
      <c r="F53" s="15"/>
      <c r="G53" s="15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5"/>
      <c r="Y53" s="14"/>
      <c r="Z53" s="14"/>
      <c r="AA53" s="14"/>
    </row>
    <row r="54" customFormat="false" ht="15" hidden="false" customHeight="true" outlineLevel="0" collapsed="false">
      <c r="A54" s="14"/>
      <c r="B54" s="14"/>
      <c r="C54" s="15"/>
      <c r="D54" s="15"/>
      <c r="E54" s="14"/>
      <c r="F54" s="15"/>
      <c r="G54" s="15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14"/>
      <c r="Z54" s="14"/>
      <c r="AA54" s="14"/>
    </row>
    <row r="55" customFormat="false" ht="15" hidden="false" customHeight="true" outlineLevel="0" collapsed="false">
      <c r="A55" s="14"/>
      <c r="B55" s="14"/>
      <c r="C55" s="15"/>
      <c r="D55" s="15"/>
      <c r="E55" s="14"/>
      <c r="F55" s="15"/>
      <c r="G55" s="1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5"/>
      <c r="Y55" s="14"/>
      <c r="Z55" s="14"/>
      <c r="AA55" s="14"/>
    </row>
    <row r="56" customFormat="false" ht="15" hidden="false" customHeight="true" outlineLevel="0" collapsed="false">
      <c r="A56" s="14"/>
      <c r="B56" s="14"/>
      <c r="C56" s="15"/>
      <c r="D56" s="15"/>
      <c r="E56" s="14"/>
      <c r="F56" s="15"/>
      <c r="G56" s="15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5"/>
      <c r="Y56" s="14"/>
      <c r="Z56" s="14"/>
      <c r="AA56" s="14"/>
    </row>
    <row r="57" customFormat="false" ht="15" hidden="false" customHeight="true" outlineLevel="0" collapsed="false">
      <c r="A57" s="14"/>
      <c r="B57" s="14"/>
      <c r="C57" s="15"/>
      <c r="D57" s="15"/>
      <c r="E57" s="14"/>
      <c r="F57" s="15"/>
      <c r="G57" s="15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5"/>
      <c r="Y57" s="14"/>
      <c r="Z57" s="14"/>
      <c r="AA57" s="14"/>
    </row>
    <row r="58" customFormat="false" ht="15" hidden="false" customHeight="true" outlineLevel="0" collapsed="false">
      <c r="A58" s="14"/>
      <c r="B58" s="14"/>
      <c r="C58" s="15"/>
      <c r="D58" s="15"/>
      <c r="E58" s="14"/>
      <c r="F58" s="15"/>
      <c r="G58" s="15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5"/>
      <c r="Y58" s="14"/>
      <c r="Z58" s="14"/>
      <c r="AA58" s="14"/>
    </row>
    <row r="59" customFormat="false" ht="15" hidden="false" customHeight="true" outlineLevel="0" collapsed="false">
      <c r="A59" s="14"/>
      <c r="B59" s="14"/>
      <c r="C59" s="15"/>
      <c r="D59" s="15"/>
      <c r="E59" s="14"/>
      <c r="F59" s="15"/>
      <c r="G59" s="15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5"/>
      <c r="Y59" s="14"/>
      <c r="Z59" s="14"/>
      <c r="AA59" s="14"/>
    </row>
    <row r="60" customFormat="false" ht="15" hidden="false" customHeight="true" outlineLevel="0" collapsed="false">
      <c r="A60" s="14"/>
      <c r="B60" s="14"/>
      <c r="C60" s="15"/>
      <c r="D60" s="15"/>
      <c r="E60" s="14"/>
      <c r="F60" s="15"/>
      <c r="G60" s="15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5"/>
      <c r="Y60" s="14"/>
      <c r="Z60" s="14"/>
      <c r="AA60" s="14"/>
    </row>
    <row r="61" customFormat="false" ht="15" hidden="false" customHeight="true" outlineLevel="0" collapsed="false">
      <c r="A61" s="14"/>
      <c r="B61" s="14"/>
      <c r="C61" s="15"/>
      <c r="D61" s="15"/>
      <c r="E61" s="14"/>
      <c r="F61" s="15"/>
      <c r="G61" s="15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  <c r="Y61" s="14"/>
      <c r="Z61" s="14"/>
      <c r="AA61" s="14"/>
    </row>
    <row r="62" customFormat="false" ht="15" hidden="false" customHeight="true" outlineLevel="0" collapsed="false">
      <c r="A62" s="14"/>
      <c r="B62" s="14"/>
      <c r="C62" s="15"/>
      <c r="D62" s="15"/>
      <c r="E62" s="14"/>
      <c r="F62" s="15"/>
      <c r="G62" s="1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14"/>
      <c r="Z62" s="14"/>
      <c r="AA62" s="14"/>
    </row>
    <row r="63" customFormat="false" ht="15" hidden="false" customHeight="true" outlineLevel="0" collapsed="false">
      <c r="A63" s="14"/>
      <c r="B63" s="14"/>
      <c r="C63" s="15"/>
      <c r="D63" s="15"/>
      <c r="E63" s="14"/>
      <c r="F63" s="15"/>
      <c r="G63" s="15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14"/>
      <c r="Z63" s="14"/>
      <c r="AA63" s="14"/>
    </row>
    <row r="64" customFormat="false" ht="15" hidden="false" customHeight="true" outlineLevel="0" collapsed="false">
      <c r="A64" s="14"/>
      <c r="B64" s="14"/>
      <c r="C64" s="15"/>
      <c r="D64" s="15"/>
      <c r="E64" s="14"/>
      <c r="F64" s="15"/>
      <c r="G64" s="15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5"/>
      <c r="Y64" s="14"/>
      <c r="Z64" s="14"/>
      <c r="AA64" s="14"/>
    </row>
    <row r="65" customFormat="false" ht="15" hidden="false" customHeight="true" outlineLevel="0" collapsed="false">
      <c r="A65" s="14"/>
      <c r="B65" s="14"/>
      <c r="C65" s="15"/>
      <c r="D65" s="15"/>
      <c r="E65" s="14"/>
      <c r="F65" s="15"/>
      <c r="G65" s="15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5"/>
      <c r="Y65" s="14"/>
      <c r="Z65" s="14"/>
      <c r="AA65" s="14"/>
    </row>
    <row r="66" customFormat="false" ht="15" hidden="false" customHeight="true" outlineLevel="0" collapsed="false">
      <c r="A66" s="14"/>
      <c r="B66" s="14"/>
      <c r="C66" s="15"/>
      <c r="D66" s="15"/>
      <c r="E66" s="14"/>
      <c r="F66" s="15"/>
      <c r="G66" s="1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5"/>
      <c r="Y66" s="14"/>
      <c r="Z66" s="14"/>
      <c r="AA66" s="14"/>
    </row>
    <row r="67" customFormat="false" ht="15" hidden="false" customHeight="true" outlineLevel="0" collapsed="false">
      <c r="A67" s="14"/>
      <c r="B67" s="14"/>
      <c r="C67" s="15"/>
      <c r="D67" s="15"/>
      <c r="E67" s="14"/>
      <c r="F67" s="15"/>
      <c r="G67" s="1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5"/>
      <c r="Y67" s="14"/>
      <c r="Z67" s="14"/>
      <c r="AA67" s="14"/>
    </row>
    <row r="68" customFormat="false" ht="15" hidden="false" customHeight="true" outlineLevel="0" collapsed="false">
      <c r="A68" s="14"/>
      <c r="B68" s="14"/>
      <c r="C68" s="15"/>
      <c r="D68" s="15"/>
      <c r="E68" s="14"/>
      <c r="F68" s="15"/>
      <c r="G68" s="1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5"/>
      <c r="Y68" s="14"/>
      <c r="Z68" s="14"/>
      <c r="AA68" s="14"/>
    </row>
    <row r="69" customFormat="false" ht="15" hidden="false" customHeight="true" outlineLevel="0" collapsed="false">
      <c r="A69" s="14"/>
      <c r="B69" s="14"/>
      <c r="C69" s="15"/>
      <c r="D69" s="15"/>
      <c r="E69" s="14"/>
      <c r="F69" s="15"/>
      <c r="G69" s="1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  <c r="Y69" s="14"/>
      <c r="Z69" s="14"/>
      <c r="AA69" s="14"/>
    </row>
    <row r="70" customFormat="false" ht="15" hidden="false" customHeight="true" outlineLevel="0" collapsed="false">
      <c r="A70" s="14"/>
      <c r="B70" s="14"/>
      <c r="C70" s="15"/>
      <c r="D70" s="15"/>
      <c r="E70" s="14"/>
      <c r="F70" s="15"/>
      <c r="G70" s="1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14"/>
      <c r="Z70" s="14"/>
      <c r="AA70" s="14"/>
    </row>
    <row r="71" customFormat="false" ht="15" hidden="false" customHeight="true" outlineLevel="0" collapsed="false">
      <c r="A71" s="14"/>
      <c r="B71" s="14"/>
      <c r="C71" s="15"/>
      <c r="D71" s="15"/>
      <c r="E71" s="14"/>
      <c r="F71" s="15"/>
      <c r="G71" s="1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5"/>
      <c r="Y71" s="14"/>
      <c r="Z71" s="14"/>
      <c r="AA71" s="14"/>
    </row>
    <row r="72" customFormat="false" ht="15" hidden="false" customHeight="true" outlineLevel="0" collapsed="false">
      <c r="A72" s="14"/>
      <c r="B72" s="14"/>
      <c r="C72" s="15"/>
      <c r="D72" s="15"/>
      <c r="E72" s="14"/>
      <c r="F72" s="15"/>
      <c r="G72" s="1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5"/>
      <c r="Y72" s="14"/>
      <c r="Z72" s="14"/>
      <c r="AA72" s="14"/>
    </row>
    <row r="73" customFormat="false" ht="15" hidden="false" customHeight="true" outlineLevel="0" collapsed="false">
      <c r="A73" s="14"/>
      <c r="B73" s="14"/>
      <c r="C73" s="15"/>
      <c r="D73" s="15"/>
      <c r="E73" s="14"/>
      <c r="F73" s="15"/>
      <c r="G73" s="1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5"/>
      <c r="Y73" s="14"/>
      <c r="Z73" s="14"/>
      <c r="AA73" s="14"/>
    </row>
    <row r="74" customFormat="false" ht="15" hidden="false" customHeight="true" outlineLevel="0" collapsed="false">
      <c r="A74" s="14"/>
      <c r="B74" s="14"/>
      <c r="C74" s="15"/>
      <c r="D74" s="15"/>
      <c r="E74" s="14"/>
      <c r="F74" s="15"/>
      <c r="G74" s="1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5"/>
      <c r="Y74" s="14"/>
      <c r="Z74" s="14"/>
      <c r="AA74" s="14"/>
    </row>
    <row r="75" customFormat="false" ht="15" hidden="false" customHeight="true" outlineLevel="0" collapsed="false">
      <c r="A75" s="14"/>
      <c r="B75" s="14"/>
      <c r="C75" s="15"/>
      <c r="D75" s="15"/>
      <c r="E75" s="14"/>
      <c r="F75" s="15"/>
      <c r="G75" s="1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14"/>
      <c r="Z75" s="14"/>
      <c r="AA75" s="14"/>
    </row>
    <row r="76" customFormat="false" ht="15" hidden="false" customHeight="true" outlineLevel="0" collapsed="false">
      <c r="A76" s="14"/>
      <c r="B76" s="14"/>
      <c r="C76" s="15"/>
      <c r="D76" s="15"/>
      <c r="E76" s="14"/>
      <c r="F76" s="15"/>
      <c r="G76" s="15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5"/>
      <c r="Y76" s="14"/>
      <c r="Z76" s="14"/>
      <c r="AA76" s="14"/>
    </row>
    <row r="77" customFormat="false" ht="15" hidden="false" customHeight="true" outlineLevel="0" collapsed="false">
      <c r="A77" s="14"/>
      <c r="B77" s="14"/>
      <c r="C77" s="15"/>
      <c r="D77" s="15"/>
      <c r="E77" s="14"/>
      <c r="F77" s="15"/>
      <c r="G77" s="1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14"/>
      <c r="Z77" s="14"/>
      <c r="AA77" s="14"/>
    </row>
    <row r="78" customFormat="false" ht="15" hidden="false" customHeight="true" outlineLevel="0" collapsed="false">
      <c r="A78" s="14"/>
      <c r="B78" s="14"/>
      <c r="C78" s="15"/>
      <c r="D78" s="15"/>
      <c r="E78" s="14"/>
      <c r="F78" s="15"/>
      <c r="G78" s="1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</row>
    <row r="79" customFormat="false" ht="15" hidden="false" customHeight="true" outlineLevel="0" collapsed="false">
      <c r="A79" s="14"/>
      <c r="B79" s="14"/>
      <c r="C79" s="15"/>
      <c r="D79" s="15"/>
      <c r="E79" s="14"/>
      <c r="F79" s="15"/>
      <c r="G79" s="1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</row>
    <row r="80" customFormat="false" ht="15" hidden="false" customHeight="true" outlineLevel="0" collapsed="false">
      <c r="A80" s="14"/>
      <c r="B80" s="14"/>
      <c r="C80" s="15"/>
      <c r="D80" s="15"/>
      <c r="E80" s="14"/>
      <c r="F80" s="15"/>
      <c r="G80" s="1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</row>
    <row r="81" customFormat="false" ht="15" hidden="false" customHeight="true" outlineLevel="0" collapsed="false">
      <c r="A81" s="14"/>
      <c r="B81" s="14"/>
      <c r="C81" s="15"/>
      <c r="D81" s="15"/>
      <c r="E81" s="14"/>
      <c r="F81" s="15"/>
      <c r="G81" s="15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</row>
    <row r="82" customFormat="false" ht="15" hidden="false" customHeight="true" outlineLevel="0" collapsed="false">
      <c r="A82" s="14"/>
      <c r="B82" s="14"/>
      <c r="C82" s="15"/>
      <c r="D82" s="15"/>
      <c r="E82" s="14"/>
      <c r="F82" s="15"/>
      <c r="G82" s="15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</row>
    <row r="83" customFormat="false" ht="15" hidden="false" customHeight="true" outlineLevel="0" collapsed="false">
      <c r="A83" s="14"/>
      <c r="B83" s="14"/>
      <c r="C83" s="15"/>
      <c r="D83" s="15"/>
      <c r="E83" s="14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</row>
    <row r="84" customFormat="false" ht="15" hidden="false" customHeight="true" outlineLevel="0" collapsed="false">
      <c r="A84" s="14"/>
      <c r="B84" s="14"/>
      <c r="C84" s="15"/>
      <c r="D84" s="15"/>
      <c r="E84" s="14"/>
      <c r="F84" s="15"/>
      <c r="G84" s="1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</row>
    <row r="85" customFormat="false" ht="15" hidden="false" customHeight="true" outlineLevel="0" collapsed="false">
      <c r="A85" s="14"/>
      <c r="B85" s="14"/>
      <c r="C85" s="15"/>
      <c r="D85" s="15"/>
      <c r="E85" s="14"/>
      <c r="F85" s="15"/>
      <c r="G85" s="15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</row>
    <row r="86" customFormat="false" ht="15" hidden="false" customHeight="true" outlineLevel="0" collapsed="false">
      <c r="A86" s="14"/>
      <c r="B86" s="14"/>
      <c r="C86" s="15"/>
      <c r="D86" s="15"/>
      <c r="E86" s="14"/>
      <c r="F86" s="15"/>
      <c r="G86" s="15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</row>
    <row r="87" customFormat="false" ht="15" hidden="false" customHeight="true" outlineLevel="0" collapsed="false">
      <c r="A87" s="14"/>
      <c r="B87" s="14"/>
      <c r="C87" s="15"/>
      <c r="D87" s="15"/>
      <c r="E87" s="14"/>
      <c r="F87" s="15"/>
      <c r="G87" s="1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</row>
    <row r="88" customFormat="false" ht="15" hidden="false" customHeight="true" outlineLevel="0" collapsed="false">
      <c r="A88" s="14"/>
      <c r="B88" s="14"/>
      <c r="C88" s="15"/>
      <c r="D88" s="15"/>
      <c r="E88" s="14"/>
      <c r="F88" s="15"/>
      <c r="G88" s="1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</row>
    <row r="89" customFormat="false" ht="15" hidden="false" customHeight="true" outlineLevel="0" collapsed="false">
      <c r="A89" s="14"/>
      <c r="B89" s="14"/>
      <c r="C89" s="15"/>
      <c r="D89" s="15"/>
      <c r="E89" s="14"/>
      <c r="F89" s="15"/>
      <c r="G89" s="15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</row>
    <row r="90" customFormat="false" ht="15" hidden="false" customHeight="true" outlineLevel="0" collapsed="false">
      <c r="A90" s="14"/>
      <c r="B90" s="14"/>
      <c r="C90" s="15"/>
      <c r="D90" s="15"/>
      <c r="E90" s="14"/>
      <c r="F90" s="15"/>
      <c r="G90" s="1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</row>
    <row r="91" customFormat="false" ht="15" hidden="false" customHeight="true" outlineLevel="0" collapsed="false">
      <c r="A91" s="14"/>
      <c r="B91" s="14"/>
      <c r="C91" s="15"/>
      <c r="D91" s="15"/>
      <c r="E91" s="14"/>
      <c r="F91" s="15"/>
      <c r="G91" s="1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</row>
    <row r="92" customFormat="false" ht="15" hidden="false" customHeight="true" outlineLevel="0" collapsed="false">
      <c r="A92" s="14"/>
      <c r="B92" s="14"/>
      <c r="C92" s="15"/>
      <c r="D92" s="15"/>
      <c r="E92" s="14"/>
      <c r="F92" s="15"/>
      <c r="G92" s="1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</row>
    <row r="93" customFormat="false" ht="15" hidden="false" customHeight="true" outlineLevel="0" collapsed="false">
      <c r="A93" s="14"/>
      <c r="B93" s="14"/>
      <c r="C93" s="15"/>
      <c r="D93" s="15"/>
      <c r="E93" s="14"/>
      <c r="F93" s="15"/>
      <c r="G93" s="1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</row>
    <row r="94" customFormat="false" ht="15" hidden="false" customHeight="true" outlineLevel="0" collapsed="false">
      <c r="A94" s="14"/>
      <c r="B94" s="14"/>
      <c r="C94" s="15"/>
      <c r="D94" s="15"/>
      <c r="E94" s="14"/>
      <c r="F94" s="15"/>
      <c r="G94" s="15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</row>
    <row r="95" customFormat="false" ht="15" hidden="false" customHeight="true" outlineLevel="0" collapsed="false">
      <c r="A95" s="14"/>
      <c r="B95" s="14"/>
      <c r="C95" s="15"/>
      <c r="D95" s="15"/>
      <c r="E95" s="14"/>
      <c r="F95" s="15"/>
      <c r="G95" s="15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</row>
    <row r="96" customFormat="false" ht="15" hidden="false" customHeight="true" outlineLevel="0" collapsed="false">
      <c r="A96" s="14"/>
      <c r="B96" s="14"/>
      <c r="C96" s="15"/>
      <c r="D96" s="15"/>
      <c r="E96" s="14"/>
      <c r="F96" s="15"/>
      <c r="G96" s="1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</row>
    <row r="97" customFormat="false" ht="15" hidden="false" customHeight="true" outlineLevel="0" collapsed="false">
      <c r="A97" s="14"/>
      <c r="B97" s="14"/>
      <c r="C97" s="15"/>
      <c r="D97" s="15"/>
      <c r="E97" s="14"/>
      <c r="F97" s="15"/>
      <c r="G97" s="1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</row>
    <row r="98" customFormat="false" ht="15" hidden="false" customHeight="true" outlineLevel="0" collapsed="false">
      <c r="A98" s="14"/>
      <c r="B98" s="14"/>
      <c r="C98" s="15"/>
      <c r="D98" s="15"/>
      <c r="E98" s="14"/>
      <c r="F98" s="15"/>
      <c r="G98" s="1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</row>
    <row r="99" customFormat="false" ht="15" hidden="false" customHeight="true" outlineLevel="0" collapsed="false">
      <c r="A99" s="14"/>
      <c r="B99" s="14"/>
      <c r="C99" s="15"/>
      <c r="D99" s="15"/>
      <c r="E99" s="14"/>
      <c r="F99" s="15"/>
      <c r="G99" s="1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</row>
    <row r="100" customFormat="false" ht="15" hidden="false" customHeight="true" outlineLevel="0" collapsed="false">
      <c r="A100" s="14"/>
      <c r="B100" s="14"/>
      <c r="C100" s="15"/>
      <c r="D100" s="15"/>
      <c r="E100" s="14"/>
      <c r="F100" s="15"/>
      <c r="G100" s="1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</row>
    <row r="101" customFormat="false" ht="15" hidden="false" customHeight="true" outlineLevel="0" collapsed="false">
      <c r="A101" s="14"/>
      <c r="B101" s="14"/>
      <c r="C101" s="15"/>
      <c r="D101" s="15"/>
      <c r="E101" s="14"/>
      <c r="F101" s="15"/>
      <c r="G101" s="15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</row>
    <row r="102" customFormat="false" ht="15" hidden="false" customHeight="true" outlineLevel="0" collapsed="false">
      <c r="A102" s="14"/>
      <c r="B102" s="14"/>
      <c r="C102" s="15"/>
      <c r="D102" s="15"/>
      <c r="E102" s="14"/>
      <c r="F102" s="15"/>
      <c r="G102" s="1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</row>
    <row r="103" customFormat="false" ht="15" hidden="false" customHeight="true" outlineLevel="0" collapsed="false">
      <c r="A103" s="14"/>
      <c r="B103" s="14"/>
      <c r="C103" s="15"/>
      <c r="D103" s="15"/>
      <c r="E103" s="14"/>
      <c r="F103" s="15"/>
      <c r="G103" s="1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</row>
    <row r="104" customFormat="false" ht="15" hidden="false" customHeight="true" outlineLevel="0" collapsed="false">
      <c r="A104" s="14"/>
      <c r="B104" s="14"/>
      <c r="C104" s="15"/>
      <c r="D104" s="15"/>
      <c r="E104" s="14"/>
      <c r="F104" s="15"/>
      <c r="G104" s="1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</row>
    <row r="105" customFormat="false" ht="15" hidden="false" customHeight="true" outlineLevel="0" collapsed="false">
      <c r="A105" s="14"/>
      <c r="B105" s="14"/>
      <c r="C105" s="15"/>
      <c r="D105" s="15"/>
      <c r="E105" s="14"/>
      <c r="F105" s="15"/>
      <c r="G105" s="1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</row>
    <row r="106" customFormat="false" ht="15" hidden="false" customHeight="true" outlineLevel="0" collapsed="false">
      <c r="A106" s="14"/>
      <c r="B106" s="14"/>
      <c r="C106" s="15"/>
      <c r="D106" s="15"/>
      <c r="E106" s="14"/>
      <c r="F106" s="15"/>
      <c r="G106" s="1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</row>
    <row r="107" customFormat="false" ht="15" hidden="false" customHeight="true" outlineLevel="0" collapsed="false">
      <c r="A107" s="14"/>
      <c r="B107" s="14"/>
      <c r="C107" s="15"/>
      <c r="D107" s="15"/>
      <c r="E107" s="14"/>
      <c r="F107" s="15"/>
      <c r="G107" s="1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</row>
    <row r="108" customFormat="false" ht="15" hidden="false" customHeight="true" outlineLevel="0" collapsed="false">
      <c r="A108" s="14"/>
      <c r="B108" s="14"/>
      <c r="C108" s="15"/>
      <c r="D108" s="15"/>
      <c r="E108" s="14"/>
      <c r="F108" s="15"/>
      <c r="G108" s="1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</row>
    <row r="109" customFormat="false" ht="15" hidden="false" customHeight="true" outlineLevel="0" collapsed="false">
      <c r="A109" s="14"/>
      <c r="B109" s="14"/>
      <c r="C109" s="15"/>
      <c r="D109" s="15"/>
      <c r="E109" s="14"/>
      <c r="F109" s="15"/>
      <c r="G109" s="1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</row>
    <row r="110" customFormat="false" ht="15" hidden="false" customHeight="true" outlineLevel="0" collapsed="false">
      <c r="A110" s="14"/>
      <c r="B110" s="14"/>
      <c r="C110" s="15"/>
      <c r="D110" s="15"/>
      <c r="E110" s="14"/>
      <c r="F110" s="15"/>
      <c r="G110" s="1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</row>
    <row r="111" customFormat="false" ht="15" hidden="false" customHeight="true" outlineLevel="0" collapsed="false">
      <c r="A111" s="14"/>
      <c r="B111" s="14"/>
      <c r="C111" s="15"/>
      <c r="D111" s="15"/>
      <c r="E111" s="14"/>
      <c r="F111" s="15"/>
      <c r="G111" s="1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</row>
    <row r="112" customFormat="false" ht="15" hidden="false" customHeight="true" outlineLevel="0" collapsed="false">
      <c r="A112" s="14"/>
      <c r="B112" s="14"/>
      <c r="C112" s="15"/>
      <c r="D112" s="15"/>
      <c r="E112" s="14"/>
      <c r="F112" s="15"/>
      <c r="G112" s="1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</row>
    <row r="113" customFormat="false" ht="15" hidden="false" customHeight="true" outlineLevel="0" collapsed="false">
      <c r="A113" s="14"/>
      <c r="B113" s="14"/>
      <c r="C113" s="15"/>
      <c r="D113" s="15"/>
      <c r="E113" s="14"/>
      <c r="F113" s="15"/>
      <c r="G113" s="1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</row>
    <row r="114" customFormat="false" ht="15" hidden="false" customHeight="true" outlineLevel="0" collapsed="false">
      <c r="A114" s="14"/>
      <c r="B114" s="14"/>
      <c r="C114" s="15"/>
      <c r="D114" s="15"/>
      <c r="E114" s="14"/>
      <c r="F114" s="15"/>
      <c r="G114" s="1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</row>
    <row r="115" customFormat="false" ht="15" hidden="false" customHeight="true" outlineLevel="0" collapsed="false">
      <c r="A115" s="14"/>
      <c r="B115" s="14"/>
      <c r="C115" s="15"/>
      <c r="D115" s="15"/>
      <c r="E115" s="14"/>
      <c r="F115" s="15"/>
      <c r="G115" s="1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</row>
    <row r="116" customFormat="false" ht="15" hidden="false" customHeight="true" outlineLevel="0" collapsed="false">
      <c r="A116" s="14"/>
      <c r="B116" s="14"/>
      <c r="C116" s="15"/>
      <c r="D116" s="15"/>
      <c r="E116" s="14"/>
      <c r="F116" s="15"/>
      <c r="G116" s="1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</row>
    <row r="117" customFormat="false" ht="15" hidden="false" customHeight="true" outlineLevel="0" collapsed="false">
      <c r="A117" s="14"/>
      <c r="B117" s="14"/>
      <c r="C117" s="15"/>
      <c r="D117" s="15"/>
      <c r="E117" s="14"/>
      <c r="F117" s="15"/>
      <c r="G117" s="1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</row>
    <row r="118" customFormat="false" ht="15" hidden="false" customHeight="true" outlineLevel="0" collapsed="false">
      <c r="A118" s="14"/>
      <c r="B118" s="14"/>
      <c r="C118" s="15"/>
      <c r="D118" s="15"/>
      <c r="E118" s="14"/>
      <c r="F118" s="15"/>
      <c r="G118" s="1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</row>
    <row r="119" customFormat="false" ht="15" hidden="false" customHeight="true" outlineLevel="0" collapsed="false">
      <c r="A119" s="14"/>
      <c r="B119" s="14"/>
      <c r="C119" s="15"/>
      <c r="D119" s="15"/>
      <c r="E119" s="14"/>
      <c r="F119" s="15"/>
      <c r="G119" s="1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</row>
    <row r="120" customFormat="false" ht="15" hidden="false" customHeight="true" outlineLevel="0" collapsed="false">
      <c r="A120" s="14"/>
      <c r="B120" s="14"/>
      <c r="C120" s="15"/>
      <c r="D120" s="15"/>
      <c r="E120" s="14"/>
      <c r="F120" s="15"/>
      <c r="G120" s="1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</row>
    <row r="121" customFormat="false" ht="15" hidden="false" customHeight="true" outlineLevel="0" collapsed="false">
      <c r="A121" s="14"/>
      <c r="B121" s="14"/>
      <c r="C121" s="15"/>
      <c r="D121" s="15"/>
      <c r="E121" s="14"/>
      <c r="F121" s="15"/>
      <c r="G121" s="1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</row>
    <row r="122" customFormat="false" ht="15" hidden="false" customHeight="true" outlineLevel="0" collapsed="false">
      <c r="A122" s="14"/>
      <c r="B122" s="14"/>
      <c r="C122" s="15"/>
      <c r="D122" s="15"/>
      <c r="E122" s="14"/>
      <c r="F122" s="15"/>
      <c r="G122" s="1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</row>
    <row r="123" customFormat="false" ht="15" hidden="false" customHeight="true" outlineLevel="0" collapsed="false">
      <c r="A123" s="14"/>
      <c r="B123" s="14"/>
      <c r="C123" s="15"/>
      <c r="D123" s="15"/>
      <c r="E123" s="14"/>
      <c r="F123" s="15"/>
      <c r="G123" s="1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</row>
    <row r="124" customFormat="false" ht="15" hidden="false" customHeight="true" outlineLevel="0" collapsed="false">
      <c r="A124" s="14"/>
      <c r="B124" s="14"/>
      <c r="C124" s="15"/>
      <c r="D124" s="15"/>
      <c r="E124" s="14"/>
      <c r="F124" s="15"/>
      <c r="G124" s="1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</row>
    <row r="125" customFormat="false" ht="15" hidden="false" customHeight="true" outlineLevel="0" collapsed="false">
      <c r="A125" s="14"/>
      <c r="B125" s="14"/>
      <c r="C125" s="15"/>
      <c r="D125" s="15"/>
      <c r="E125" s="14"/>
      <c r="F125" s="15"/>
      <c r="G125" s="1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</row>
    <row r="126" customFormat="false" ht="15" hidden="false" customHeight="true" outlineLevel="0" collapsed="false">
      <c r="A126" s="14"/>
      <c r="B126" s="14"/>
      <c r="C126" s="15"/>
      <c r="D126" s="15"/>
      <c r="E126" s="14"/>
      <c r="F126" s="15"/>
      <c r="G126" s="1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</row>
    <row r="127" customFormat="false" ht="15" hidden="false" customHeight="true" outlineLevel="0" collapsed="false">
      <c r="A127" s="14"/>
      <c r="B127" s="14"/>
      <c r="C127" s="15"/>
      <c r="D127" s="15"/>
      <c r="E127" s="14"/>
      <c r="F127" s="15"/>
      <c r="G127" s="1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</row>
    <row r="128" customFormat="false" ht="15" hidden="false" customHeight="true" outlineLevel="0" collapsed="false">
      <c r="A128" s="14"/>
      <c r="B128" s="14"/>
      <c r="C128" s="15"/>
      <c r="D128" s="15"/>
      <c r="E128" s="14"/>
      <c r="F128" s="15"/>
      <c r="G128" s="1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</row>
    <row r="129" customFormat="false" ht="15" hidden="false" customHeight="true" outlineLevel="0" collapsed="false">
      <c r="A129" s="14"/>
      <c r="B129" s="14"/>
      <c r="C129" s="15"/>
      <c r="D129" s="15"/>
      <c r="E129" s="14"/>
      <c r="F129" s="15"/>
      <c r="G129" s="1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</row>
    <row r="130" customFormat="false" ht="15" hidden="false" customHeight="true" outlineLevel="0" collapsed="false">
      <c r="A130" s="14"/>
      <c r="B130" s="14"/>
      <c r="C130" s="15"/>
      <c r="D130" s="15"/>
      <c r="E130" s="14"/>
      <c r="F130" s="15"/>
      <c r="G130" s="1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</row>
    <row r="131" customFormat="false" ht="15" hidden="false" customHeight="true" outlineLevel="0" collapsed="false">
      <c r="A131" s="14"/>
      <c r="B131" s="14"/>
      <c r="C131" s="15"/>
      <c r="D131" s="15"/>
      <c r="E131" s="14"/>
      <c r="F131" s="15"/>
      <c r="G131" s="1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</row>
    <row r="132" customFormat="false" ht="15" hidden="false" customHeight="true" outlineLevel="0" collapsed="false">
      <c r="A132" s="14"/>
      <c r="B132" s="14"/>
      <c r="C132" s="15"/>
      <c r="D132" s="15"/>
      <c r="E132" s="14"/>
      <c r="F132" s="15"/>
      <c r="G132" s="1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</row>
    <row r="133" customFormat="false" ht="15" hidden="false" customHeight="true" outlineLevel="0" collapsed="false">
      <c r="A133" s="14"/>
      <c r="B133" s="14"/>
      <c r="C133" s="15"/>
      <c r="D133" s="15"/>
      <c r="E133" s="14"/>
      <c r="F133" s="15"/>
      <c r="G133" s="1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</row>
    <row r="134" customFormat="false" ht="15" hidden="false" customHeight="true" outlineLevel="0" collapsed="false">
      <c r="A134" s="14"/>
      <c r="B134" s="14"/>
      <c r="C134" s="15"/>
      <c r="D134" s="15"/>
      <c r="E134" s="14"/>
      <c r="F134" s="15"/>
      <c r="G134" s="1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</row>
    <row r="135" customFormat="false" ht="15" hidden="false" customHeight="true" outlineLevel="0" collapsed="false">
      <c r="A135" s="14"/>
      <c r="B135" s="14"/>
      <c r="C135" s="15"/>
      <c r="D135" s="15"/>
      <c r="E135" s="14"/>
      <c r="F135" s="15"/>
      <c r="G135" s="1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</row>
    <row r="136" customFormat="false" ht="15" hidden="false" customHeight="true" outlineLevel="0" collapsed="false">
      <c r="A136" s="14"/>
      <c r="B136" s="14"/>
      <c r="C136" s="15"/>
      <c r="D136" s="15"/>
      <c r="E136" s="14"/>
      <c r="F136" s="15"/>
      <c r="G136" s="1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</row>
    <row r="137" customFormat="false" ht="15" hidden="false" customHeight="true" outlineLevel="0" collapsed="false">
      <c r="A137" s="14"/>
      <c r="B137" s="14"/>
      <c r="C137" s="15"/>
      <c r="D137" s="15"/>
      <c r="E137" s="14"/>
      <c r="F137" s="15"/>
      <c r="G137" s="1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</row>
    <row r="138" customFormat="false" ht="15" hidden="false" customHeight="true" outlineLevel="0" collapsed="false">
      <c r="A138" s="14"/>
      <c r="B138" s="14"/>
      <c r="C138" s="15"/>
      <c r="D138" s="15"/>
      <c r="E138" s="14"/>
      <c r="F138" s="15"/>
      <c r="G138" s="1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</row>
    <row r="139" customFormat="false" ht="15" hidden="false" customHeight="true" outlineLevel="0" collapsed="false">
      <c r="A139" s="14"/>
      <c r="B139" s="14"/>
      <c r="C139" s="15"/>
      <c r="D139" s="15"/>
      <c r="E139" s="14"/>
      <c r="F139" s="15"/>
      <c r="G139" s="1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</row>
    <row r="140" customFormat="false" ht="15" hidden="false" customHeight="true" outlineLevel="0" collapsed="false">
      <c r="A140" s="14"/>
      <c r="B140" s="14"/>
      <c r="C140" s="15"/>
      <c r="D140" s="15"/>
      <c r="E140" s="14"/>
      <c r="F140" s="15"/>
      <c r="G140" s="1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</row>
    <row r="141" customFormat="false" ht="15" hidden="false" customHeight="true" outlineLevel="0" collapsed="false">
      <c r="A141" s="14"/>
      <c r="B141" s="14"/>
      <c r="C141" s="15"/>
      <c r="D141" s="15"/>
      <c r="E141" s="14"/>
      <c r="F141" s="15"/>
      <c r="G141" s="1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</row>
    <row r="142" customFormat="false" ht="15" hidden="false" customHeight="true" outlineLevel="0" collapsed="false">
      <c r="A142" s="14"/>
      <c r="B142" s="14"/>
      <c r="C142" s="15"/>
      <c r="D142" s="15"/>
      <c r="E142" s="14"/>
      <c r="F142" s="15"/>
      <c r="G142" s="1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</row>
    <row r="143" customFormat="false" ht="15" hidden="false" customHeight="true" outlineLevel="0" collapsed="false">
      <c r="A143" s="14"/>
      <c r="B143" s="14"/>
      <c r="C143" s="15"/>
      <c r="D143" s="15"/>
      <c r="E143" s="14"/>
      <c r="F143" s="15"/>
      <c r="G143" s="1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</row>
    <row r="144" customFormat="false" ht="15" hidden="false" customHeight="true" outlineLevel="0" collapsed="false">
      <c r="A144" s="14"/>
      <c r="B144" s="14"/>
      <c r="C144" s="15"/>
      <c r="D144" s="15"/>
      <c r="E144" s="14"/>
      <c r="F144" s="15"/>
      <c r="G144" s="1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</row>
    <row r="145" customFormat="false" ht="15" hidden="false" customHeight="true" outlineLevel="0" collapsed="false">
      <c r="A145" s="14"/>
      <c r="B145" s="14"/>
      <c r="C145" s="15"/>
      <c r="D145" s="15"/>
      <c r="E145" s="14"/>
      <c r="F145" s="15"/>
      <c r="G145" s="1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</row>
    <row r="146" customFormat="false" ht="15" hidden="false" customHeight="true" outlineLevel="0" collapsed="false">
      <c r="A146" s="14"/>
      <c r="B146" s="14"/>
      <c r="C146" s="15"/>
      <c r="D146" s="15"/>
      <c r="E146" s="14"/>
      <c r="F146" s="15"/>
      <c r="G146" s="1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</row>
    <row r="147" customFormat="false" ht="15" hidden="false" customHeight="true" outlineLevel="0" collapsed="false">
      <c r="A147" s="14"/>
      <c r="B147" s="14"/>
      <c r="C147" s="15"/>
      <c r="D147" s="15"/>
      <c r="E147" s="14"/>
      <c r="F147" s="15"/>
      <c r="G147" s="1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</row>
    <row r="148" customFormat="false" ht="15" hidden="false" customHeight="true" outlineLevel="0" collapsed="false">
      <c r="A148" s="14"/>
      <c r="B148" s="14"/>
      <c r="C148" s="15"/>
      <c r="D148" s="15"/>
      <c r="E148" s="14"/>
      <c r="F148" s="15"/>
      <c r="G148" s="1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</row>
    <row r="149" customFormat="false" ht="15" hidden="false" customHeight="true" outlineLevel="0" collapsed="false">
      <c r="A149" s="14"/>
      <c r="B149" s="14"/>
      <c r="C149" s="15"/>
      <c r="D149" s="15"/>
      <c r="E149" s="14"/>
      <c r="F149" s="15"/>
      <c r="G149" s="1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</row>
    <row r="150" customFormat="false" ht="15" hidden="false" customHeight="true" outlineLevel="0" collapsed="false">
      <c r="A150" s="14"/>
      <c r="B150" s="14"/>
      <c r="C150" s="15"/>
      <c r="D150" s="15"/>
      <c r="E150" s="14"/>
      <c r="F150" s="15"/>
      <c r="G150" s="1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  <c r="Y150" s="14"/>
      <c r="Z150" s="14"/>
      <c r="AA150" s="14"/>
    </row>
    <row r="151" customFormat="false" ht="15" hidden="false" customHeight="true" outlineLevel="0" collapsed="false">
      <c r="A151" s="14"/>
      <c r="B151" s="14"/>
      <c r="C151" s="15"/>
      <c r="D151" s="15"/>
      <c r="E151" s="14"/>
      <c r="F151" s="15"/>
      <c r="G151" s="1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5"/>
      <c r="Y151" s="14"/>
      <c r="Z151" s="14"/>
      <c r="AA151" s="14"/>
    </row>
  </sheetData>
  <autoFilter ref="A1:AA151"/>
  <conditionalFormatting sqref="X2:X151">
    <cfRule type="expression" priority="2" aboveAverage="0" equalAverage="0" bottom="0" percent="0" rank="0" text="" dxfId="7">
      <formula>X2="확인완료"</formula>
    </cfRule>
    <cfRule type="expression" priority="3" aboveAverage="0" equalAverage="0" bottom="0" percent="0" rank="0" text="" dxfId="8">
      <formula>X2="홈페이지 확인"</formula>
    </cfRule>
    <cfRule type="expression" priority="4" aboveAverage="0" equalAverage="0" bottom="0" percent="0" rank="0" text="" dxfId="9">
      <formula>X2="확인 필요"</formula>
    </cfRule>
    <cfRule type="expression" priority="5" aboveAverage="0" equalAverage="0" bottom="0" percent="0" rank="0" text="" dxfId="10">
      <formula>X2="출처 미확인"</formula>
    </cfRule>
    <cfRule type="expression" priority="6" aboveAverage="0" equalAverage="0" bottom="0" percent="0" rank="0" text="" dxfId="11">
      <formula>X2="미입력"</formula>
    </cfRule>
  </conditionalFormatting>
  <dataValidations count="8">
    <dataValidation allowBlank="true" error="분류코드 시트의 목록에서 선택해 주세요." errorStyle="stop" errorTitle="입력값 확인" operator="between" showDropDown="false" showErrorMessage="true" showInputMessage="false" sqref="C2:C151" type="list">
      <formula1>분류코드!$A$2:$A$20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D2:D151" type="list">
      <formula1>분류코드!$B$2:$B$20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F2:F151" type="list">
      <formula1>분류코드!$C$2:$C$20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G2:G151" type="list">
      <formula1>분류코드!$D$2:$D$20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R2:R151" type="list">
      <formula1>분류코드!$E$2:$E$20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X2:X151" type="list">
      <formula1>분류코드!$F$2:$F$20</formula1>
      <formula2>0</formula2>
    </dataValidation>
    <dataValidation allowBlank="true" error="분류코드 시트의 목록에서 선택해 주세요." errorStyle="stop" errorTitle="입력값 확인" operator="between" showDropDown="false" showErrorMessage="true" showInputMessage="false" sqref="U2:U151" type="list">
      <formula1>분류코드!$G$2:$G$20</formula1>
      <formula2>0</formula2>
    </dataValidation>
    <dataValidation allowBlank="true" error="0~100 사이 숫자를 입력해 주세요." errorStyle="stop" operator="between" showDropDown="false" showErrorMessage="true" showInputMessage="false" sqref="S2:T151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8" min="6" style="1" width="9"/>
    <col collapsed="false" customWidth="true" hidden="false" outlineLevel="0" max="11" min="9" style="1" width="14"/>
    <col collapsed="false" customWidth="true" hidden="false" outlineLevel="0" max="12" min="12" style="1" width="10"/>
    <col collapsed="false" customWidth="true" hidden="false" outlineLevel="0" max="13" min="13" style="1" width="28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36"/>
  </cols>
  <sheetData>
    <row r="1" customFormat="false" ht="31.5" hidden="false" customHeight="true" outlineLevel="0" collapsed="false">
      <c r="A1" s="10" t="s">
        <v>50</v>
      </c>
      <c r="B1" s="10" t="s">
        <v>315</v>
      </c>
      <c r="C1" s="10" t="s">
        <v>316</v>
      </c>
      <c r="D1" s="10" t="s">
        <v>317</v>
      </c>
      <c r="E1" s="10" t="s">
        <v>318</v>
      </c>
      <c r="F1" s="10" t="s">
        <v>319</v>
      </c>
      <c r="G1" s="10" t="s">
        <v>320</v>
      </c>
      <c r="H1" s="10" t="s">
        <v>321</v>
      </c>
      <c r="I1" s="10" t="s">
        <v>322</v>
      </c>
      <c r="J1" s="10" t="s">
        <v>323</v>
      </c>
      <c r="K1" s="10" t="s">
        <v>46</v>
      </c>
      <c r="L1" s="10" t="s">
        <v>324</v>
      </c>
      <c r="M1" s="10" t="s">
        <v>56</v>
      </c>
      <c r="N1" s="10" t="s">
        <v>55</v>
      </c>
      <c r="O1" s="10" t="s">
        <v>325</v>
      </c>
      <c r="P1" s="10" t="s">
        <v>71</v>
      </c>
      <c r="Q1" s="10" t="s">
        <v>74</v>
      </c>
    </row>
    <row r="2" customFormat="false" ht="29.25" hidden="false" customHeight="true" outlineLevel="0" collapsed="false">
      <c r="A2" s="9" t="s">
        <v>326</v>
      </c>
      <c r="B2" s="9" t="n">
        <v>10400</v>
      </c>
      <c r="C2" s="8" t="s">
        <v>327</v>
      </c>
      <c r="D2" s="8" t="s">
        <v>328</v>
      </c>
      <c r="E2" s="8" t="s">
        <v>329</v>
      </c>
      <c r="F2" s="17" t="n">
        <v>160</v>
      </c>
      <c r="G2" s="9" t="n">
        <v>0</v>
      </c>
      <c r="H2" s="9" t="n">
        <v>3</v>
      </c>
      <c r="I2" s="18" t="n">
        <v>37.3007</v>
      </c>
      <c r="J2" s="18" t="n">
        <v>126.9712</v>
      </c>
      <c r="K2" s="8" t="s">
        <v>330</v>
      </c>
      <c r="L2" s="8" t="s">
        <v>331</v>
      </c>
      <c r="M2" s="14"/>
      <c r="N2" s="14"/>
      <c r="O2" s="9" t="s">
        <v>237</v>
      </c>
      <c r="P2" s="8" t="s">
        <v>37</v>
      </c>
      <c r="Q2" s="8" t="s">
        <v>332</v>
      </c>
    </row>
    <row r="3" customFormat="false" ht="29.25" hidden="false" customHeight="true" outlineLevel="0" collapsed="false">
      <c r="A3" s="9" t="s">
        <v>333</v>
      </c>
      <c r="B3" s="9" t="n">
        <v>10600</v>
      </c>
      <c r="C3" s="8" t="s">
        <v>334</v>
      </c>
      <c r="D3" s="8" t="s">
        <v>328</v>
      </c>
      <c r="E3" s="8" t="s">
        <v>329</v>
      </c>
      <c r="F3" s="17" t="n">
        <v>136</v>
      </c>
      <c r="G3" s="9" t="n">
        <v>2</v>
      </c>
      <c r="H3" s="9" t="n">
        <v>3</v>
      </c>
      <c r="I3" s="18" t="n">
        <v>37.2852</v>
      </c>
      <c r="J3" s="18" t="n">
        <v>126.987</v>
      </c>
      <c r="K3" s="8" t="s">
        <v>330</v>
      </c>
      <c r="L3" s="8" t="s">
        <v>331</v>
      </c>
      <c r="M3" s="14"/>
      <c r="N3" s="14"/>
      <c r="O3" s="9" t="s">
        <v>237</v>
      </c>
      <c r="P3" s="8" t="s">
        <v>37</v>
      </c>
      <c r="Q3" s="8" t="s">
        <v>332</v>
      </c>
    </row>
    <row r="4" customFormat="false" ht="15" hidden="false" customHeight="true" outlineLevel="0" collapsed="false">
      <c r="A4" s="9" t="s">
        <v>335</v>
      </c>
      <c r="B4" s="9" t="n">
        <v>10800</v>
      </c>
      <c r="C4" s="8" t="s">
        <v>336</v>
      </c>
      <c r="D4" s="8" t="s">
        <v>328</v>
      </c>
      <c r="E4" s="8" t="s">
        <v>329</v>
      </c>
      <c r="F4" s="17" t="n">
        <v>136</v>
      </c>
      <c r="G4" s="9" t="n">
        <v>2</v>
      </c>
      <c r="H4" s="9" t="n">
        <v>2</v>
      </c>
      <c r="I4" s="18" t="n">
        <v>37.2423641638472</v>
      </c>
      <c r="J4" s="18" t="n">
        <v>127.014871851798</v>
      </c>
      <c r="K4" s="8" t="s">
        <v>337</v>
      </c>
      <c r="L4" s="8" t="s">
        <v>331</v>
      </c>
      <c r="M4" s="14"/>
      <c r="N4" s="14"/>
      <c r="O4" s="9" t="s">
        <v>237</v>
      </c>
      <c r="P4" s="8" t="s">
        <v>35</v>
      </c>
      <c r="Q4" s="9"/>
    </row>
    <row r="5" customFormat="false" ht="29.25" hidden="false" customHeight="true" outlineLevel="0" collapsed="false">
      <c r="A5" s="9" t="s">
        <v>338</v>
      </c>
      <c r="B5" s="9" t="n">
        <v>11100</v>
      </c>
      <c r="C5" s="8" t="s">
        <v>339</v>
      </c>
      <c r="D5" s="8" t="s">
        <v>328</v>
      </c>
      <c r="E5" s="8" t="s">
        <v>329</v>
      </c>
      <c r="F5" s="17" t="n">
        <v>191</v>
      </c>
      <c r="G5" s="9" t="n">
        <v>4</v>
      </c>
      <c r="H5" s="9" t="n">
        <v>6</v>
      </c>
      <c r="I5" s="18" t="n">
        <v>37.3</v>
      </c>
      <c r="J5" s="18" t="n">
        <v>126.9705</v>
      </c>
      <c r="K5" s="8" t="s">
        <v>330</v>
      </c>
      <c r="L5" s="8" t="s">
        <v>331</v>
      </c>
      <c r="M5" s="14"/>
      <c r="N5" s="14"/>
      <c r="O5" s="9" t="s">
        <v>237</v>
      </c>
      <c r="P5" s="8" t="s">
        <v>37</v>
      </c>
      <c r="Q5" s="8" t="s">
        <v>332</v>
      </c>
    </row>
    <row r="6" customFormat="false" ht="15" hidden="false" customHeight="true" outlineLevel="0" collapsed="false">
      <c r="A6" s="9" t="s">
        <v>340</v>
      </c>
      <c r="B6" s="9" t="n">
        <v>20200</v>
      </c>
      <c r="C6" s="8" t="s">
        <v>341</v>
      </c>
      <c r="D6" s="8" t="s">
        <v>328</v>
      </c>
      <c r="E6" s="8" t="s">
        <v>329</v>
      </c>
      <c r="F6" s="17" t="n">
        <v>243</v>
      </c>
      <c r="G6" s="9" t="n">
        <v>6</v>
      </c>
      <c r="H6" s="9" t="n">
        <v>6</v>
      </c>
      <c r="I6" s="18" t="n">
        <v>37.273212631778</v>
      </c>
      <c r="J6" s="18" t="n">
        <v>127.015351409402</v>
      </c>
      <c r="K6" s="8" t="s">
        <v>337</v>
      </c>
      <c r="L6" s="8" t="s">
        <v>331</v>
      </c>
      <c r="M6" s="14"/>
      <c r="N6" s="14"/>
      <c r="O6" s="9" t="s">
        <v>237</v>
      </c>
      <c r="P6" s="8" t="s">
        <v>35</v>
      </c>
      <c r="Q6" s="9"/>
    </row>
    <row r="7" customFormat="false" ht="29.25" hidden="false" customHeight="true" outlineLevel="0" collapsed="false">
      <c r="A7" s="9" t="s">
        <v>342</v>
      </c>
      <c r="B7" s="9" t="n">
        <v>20400</v>
      </c>
      <c r="C7" s="8" t="s">
        <v>343</v>
      </c>
      <c r="D7" s="8" t="s">
        <v>328</v>
      </c>
      <c r="E7" s="8" t="s">
        <v>329</v>
      </c>
      <c r="F7" s="17" t="n">
        <v>56</v>
      </c>
      <c r="G7" s="9" t="n">
        <v>0</v>
      </c>
      <c r="H7" s="9" t="n">
        <v>1</v>
      </c>
      <c r="I7" s="18" t="n">
        <v>37.27485</v>
      </c>
      <c r="J7" s="18" t="n">
        <v>127.0305</v>
      </c>
      <c r="K7" s="8" t="s">
        <v>330</v>
      </c>
      <c r="L7" s="8" t="s">
        <v>331</v>
      </c>
      <c r="M7" s="14"/>
      <c r="N7" s="14"/>
      <c r="O7" s="9" t="s">
        <v>237</v>
      </c>
      <c r="P7" s="8" t="s">
        <v>37</v>
      </c>
      <c r="Q7" s="8" t="s">
        <v>332</v>
      </c>
    </row>
    <row r="8" customFormat="false" ht="15" hidden="false" customHeight="true" outlineLevel="0" collapsed="false">
      <c r="A8" s="9" t="s">
        <v>344</v>
      </c>
      <c r="B8" s="9" t="n">
        <v>20600</v>
      </c>
      <c r="C8" s="8" t="s">
        <v>345</v>
      </c>
      <c r="D8" s="8" t="s">
        <v>328</v>
      </c>
      <c r="E8" s="8" t="s">
        <v>329</v>
      </c>
      <c r="F8" s="17" t="n">
        <v>305</v>
      </c>
      <c r="G8" s="9" t="n">
        <v>2</v>
      </c>
      <c r="H8" s="9" t="n">
        <v>4</v>
      </c>
      <c r="I8" s="18" t="n">
        <v>37.2532052549672</v>
      </c>
      <c r="J8" s="18" t="n">
        <v>127.074203387617</v>
      </c>
      <c r="K8" s="8" t="s">
        <v>337</v>
      </c>
      <c r="L8" s="8" t="s">
        <v>331</v>
      </c>
      <c r="M8" s="14"/>
      <c r="N8" s="14"/>
      <c r="O8" s="9" t="s">
        <v>237</v>
      </c>
      <c r="P8" s="8" t="s">
        <v>35</v>
      </c>
      <c r="Q8" s="9"/>
    </row>
    <row r="9" customFormat="false" ht="29.25" hidden="false" customHeight="true" outlineLevel="0" collapsed="false">
      <c r="A9" s="9" t="s">
        <v>346</v>
      </c>
      <c r="B9" s="9" t="n">
        <v>21000</v>
      </c>
      <c r="C9" s="8" t="s">
        <v>347</v>
      </c>
      <c r="D9" s="8" t="s">
        <v>348</v>
      </c>
      <c r="E9" s="8" t="s">
        <v>349</v>
      </c>
      <c r="F9" s="17" t="n">
        <v>244</v>
      </c>
      <c r="G9" s="9" t="n">
        <v>2</v>
      </c>
      <c r="H9" s="9" t="n">
        <v>3</v>
      </c>
      <c r="I9" s="18" t="n">
        <v>37.230519238567</v>
      </c>
      <c r="J9" s="18" t="n">
        <v>127.021883152598</v>
      </c>
      <c r="K9" s="8" t="s">
        <v>337</v>
      </c>
      <c r="L9" s="8" t="s">
        <v>350</v>
      </c>
      <c r="M9" s="14"/>
      <c r="N9" s="14"/>
      <c r="O9" s="9" t="s">
        <v>237</v>
      </c>
      <c r="P9" s="8" t="s">
        <v>35</v>
      </c>
      <c r="Q9" s="9"/>
    </row>
    <row r="10" customFormat="false" ht="29.25" hidden="false" customHeight="true" outlineLevel="0" collapsed="false">
      <c r="A10" s="9" t="s">
        <v>351</v>
      </c>
      <c r="B10" s="9" t="n">
        <v>21400</v>
      </c>
      <c r="C10" s="8" t="s">
        <v>352</v>
      </c>
      <c r="D10" s="8" t="s">
        <v>328</v>
      </c>
      <c r="E10" s="8" t="s">
        <v>329</v>
      </c>
      <c r="F10" s="17" t="n">
        <v>72</v>
      </c>
      <c r="G10" s="9" t="n">
        <v>1</v>
      </c>
      <c r="H10" s="9" t="n">
        <v>0</v>
      </c>
      <c r="I10" s="18" t="n">
        <v>37.298</v>
      </c>
      <c r="J10" s="18" t="n">
        <v>126.9713</v>
      </c>
      <c r="K10" s="8" t="s">
        <v>330</v>
      </c>
      <c r="L10" s="8" t="s">
        <v>331</v>
      </c>
      <c r="M10" s="14"/>
      <c r="N10" s="14"/>
      <c r="O10" s="9" t="s">
        <v>237</v>
      </c>
      <c r="P10" s="8" t="s">
        <v>37</v>
      </c>
      <c r="Q10" s="8" t="s">
        <v>332</v>
      </c>
    </row>
    <row r="11" customFormat="false" ht="29.25" hidden="false" customHeight="true" outlineLevel="0" collapsed="false">
      <c r="A11" s="9" t="s">
        <v>353</v>
      </c>
      <c r="B11" s="9" t="n">
        <v>21401</v>
      </c>
      <c r="C11" s="8" t="s">
        <v>354</v>
      </c>
      <c r="D11" s="8" t="s">
        <v>328</v>
      </c>
      <c r="E11" s="8" t="s">
        <v>329</v>
      </c>
      <c r="F11" s="17" t="n">
        <v>46</v>
      </c>
      <c r="G11" s="9" t="n">
        <v>0</v>
      </c>
      <c r="H11" s="9" t="n">
        <v>0</v>
      </c>
      <c r="I11" s="18" t="n">
        <v>37.2961125703237</v>
      </c>
      <c r="J11" s="18" t="n">
        <v>126.9703</v>
      </c>
      <c r="K11" s="8" t="s">
        <v>330</v>
      </c>
      <c r="L11" s="8" t="s">
        <v>331</v>
      </c>
      <c r="M11" s="14"/>
      <c r="N11" s="14"/>
      <c r="O11" s="9" t="s">
        <v>237</v>
      </c>
      <c r="P11" s="8" t="s">
        <v>37</v>
      </c>
      <c r="Q11" s="8" t="s">
        <v>332</v>
      </c>
    </row>
    <row r="12" customFormat="false" ht="15" hidden="false" customHeight="true" outlineLevel="0" collapsed="false">
      <c r="A12" s="9" t="s">
        <v>355</v>
      </c>
      <c r="B12" s="9" t="n">
        <v>21600</v>
      </c>
      <c r="C12" s="8" t="s">
        <v>356</v>
      </c>
      <c r="D12" s="8" t="s">
        <v>328</v>
      </c>
      <c r="E12" s="8" t="s">
        <v>329</v>
      </c>
      <c r="F12" s="17" t="n">
        <v>360</v>
      </c>
      <c r="G12" s="9" t="n">
        <v>2</v>
      </c>
      <c r="H12" s="9" t="n">
        <v>5</v>
      </c>
      <c r="I12" s="18" t="n">
        <v>37.3013145429575</v>
      </c>
      <c r="J12" s="18" t="n">
        <v>127.030790611364</v>
      </c>
      <c r="K12" s="8" t="s">
        <v>337</v>
      </c>
      <c r="L12" s="8" t="s">
        <v>331</v>
      </c>
      <c r="M12" s="14"/>
      <c r="N12" s="14"/>
      <c r="O12" s="9" t="s">
        <v>237</v>
      </c>
      <c r="P12" s="8" t="s">
        <v>35</v>
      </c>
      <c r="Q12" s="9"/>
    </row>
    <row r="13" customFormat="false" ht="29.25" hidden="false" customHeight="true" outlineLevel="0" collapsed="false">
      <c r="A13" s="9" t="s">
        <v>357</v>
      </c>
      <c r="B13" s="9" t="n">
        <v>22000</v>
      </c>
      <c r="C13" s="8" t="s">
        <v>358</v>
      </c>
      <c r="D13" s="8" t="s">
        <v>328</v>
      </c>
      <c r="E13" s="8" t="s">
        <v>329</v>
      </c>
      <c r="F13" s="17" t="n">
        <v>51</v>
      </c>
      <c r="G13" s="9" t="n">
        <v>0</v>
      </c>
      <c r="H13" s="9" t="n">
        <v>0</v>
      </c>
      <c r="I13" s="18" t="n">
        <v>37.2495</v>
      </c>
      <c r="J13" s="18" t="n">
        <v>127.02</v>
      </c>
      <c r="K13" s="8" t="s">
        <v>330</v>
      </c>
      <c r="L13" s="8" t="s">
        <v>331</v>
      </c>
      <c r="M13" s="14"/>
      <c r="N13" s="14"/>
      <c r="O13" s="9" t="s">
        <v>237</v>
      </c>
      <c r="P13" s="8" t="s">
        <v>37</v>
      </c>
      <c r="Q13" s="8" t="s">
        <v>332</v>
      </c>
    </row>
    <row r="14" customFormat="false" ht="15" hidden="false" customHeight="true" outlineLevel="0" collapsed="false">
      <c r="A14" s="9" t="s">
        <v>359</v>
      </c>
      <c r="B14" s="9" t="n">
        <v>22200</v>
      </c>
      <c r="C14" s="8" t="s">
        <v>360</v>
      </c>
      <c r="D14" s="8" t="s">
        <v>328</v>
      </c>
      <c r="E14" s="8" t="s">
        <v>329</v>
      </c>
      <c r="F14" s="17" t="n">
        <v>182</v>
      </c>
      <c r="G14" s="9" t="n">
        <v>3</v>
      </c>
      <c r="H14" s="9" t="n">
        <v>1</v>
      </c>
      <c r="I14" s="18" t="n">
        <v>37.2931528360272</v>
      </c>
      <c r="J14" s="18" t="n">
        <v>127.014115988153</v>
      </c>
      <c r="K14" s="8" t="s">
        <v>337</v>
      </c>
      <c r="L14" s="8" t="s">
        <v>331</v>
      </c>
      <c r="M14" s="14"/>
      <c r="N14" s="14"/>
      <c r="O14" s="9" t="s">
        <v>237</v>
      </c>
      <c r="P14" s="8" t="s">
        <v>35</v>
      </c>
      <c r="Q14" s="9"/>
    </row>
    <row r="15" customFormat="false" ht="15" hidden="false" customHeight="true" outlineLevel="0" collapsed="false">
      <c r="A15" s="9" t="s">
        <v>361</v>
      </c>
      <c r="B15" s="9" t="n">
        <v>22201</v>
      </c>
      <c r="C15" s="8" t="s">
        <v>362</v>
      </c>
      <c r="D15" s="8" t="s">
        <v>328</v>
      </c>
      <c r="E15" s="8" t="s">
        <v>329</v>
      </c>
      <c r="F15" s="17" t="n">
        <v>30</v>
      </c>
      <c r="G15" s="9" t="n">
        <v>2</v>
      </c>
      <c r="H15" s="9" t="n">
        <v>5</v>
      </c>
      <c r="I15" s="18" t="n">
        <v>37.2927891074204</v>
      </c>
      <c r="J15" s="18" t="n">
        <v>127.014262898819</v>
      </c>
      <c r="K15" s="8" t="s">
        <v>337</v>
      </c>
      <c r="L15" s="8" t="s">
        <v>331</v>
      </c>
      <c r="M15" s="14"/>
      <c r="N15" s="14"/>
      <c r="O15" s="9" t="s">
        <v>237</v>
      </c>
      <c r="P15" s="8" t="s">
        <v>35</v>
      </c>
      <c r="Q15" s="9"/>
    </row>
    <row r="16" customFormat="false" ht="15" hidden="false" customHeight="true" outlineLevel="0" collapsed="false">
      <c r="A16" s="9" t="s">
        <v>363</v>
      </c>
      <c r="B16" s="9" t="n">
        <v>22400</v>
      </c>
      <c r="C16" s="8" t="s">
        <v>364</v>
      </c>
      <c r="D16" s="8" t="s">
        <v>328</v>
      </c>
      <c r="E16" s="8" t="s">
        <v>329</v>
      </c>
      <c r="F16" s="17" t="n">
        <v>80</v>
      </c>
      <c r="G16" s="9" t="n">
        <v>2</v>
      </c>
      <c r="H16" s="9" t="n">
        <v>0</v>
      </c>
      <c r="I16" s="18" t="n">
        <v>37.2711880202849</v>
      </c>
      <c r="J16" s="18" t="n">
        <v>127.024512012293</v>
      </c>
      <c r="K16" s="8" t="s">
        <v>337</v>
      </c>
      <c r="L16" s="8" t="s">
        <v>331</v>
      </c>
      <c r="M16" s="14"/>
      <c r="N16" s="14"/>
      <c r="O16" s="9" t="s">
        <v>237</v>
      </c>
      <c r="P16" s="8" t="s">
        <v>35</v>
      </c>
      <c r="Q16" s="9"/>
    </row>
    <row r="17" customFormat="false" ht="29.25" hidden="false" customHeight="true" outlineLevel="0" collapsed="false">
      <c r="A17" s="9" t="s">
        <v>365</v>
      </c>
      <c r="B17" s="9" t="n">
        <v>22800</v>
      </c>
      <c r="C17" s="8" t="s">
        <v>366</v>
      </c>
      <c r="D17" s="8" t="s">
        <v>328</v>
      </c>
      <c r="E17" s="8" t="s">
        <v>329</v>
      </c>
      <c r="F17" s="17" t="n">
        <v>104</v>
      </c>
      <c r="G17" s="9" t="n">
        <v>2</v>
      </c>
      <c r="H17" s="9" t="n">
        <v>0</v>
      </c>
      <c r="I17" s="18" t="n">
        <v>37.2973</v>
      </c>
      <c r="J17" s="18" t="n">
        <v>126.9998</v>
      </c>
      <c r="K17" s="8" t="s">
        <v>330</v>
      </c>
      <c r="L17" s="8" t="s">
        <v>331</v>
      </c>
      <c r="M17" s="14"/>
      <c r="N17" s="14"/>
      <c r="O17" s="9" t="s">
        <v>237</v>
      </c>
      <c r="P17" s="8" t="s">
        <v>37</v>
      </c>
      <c r="Q17" s="8" t="s">
        <v>332</v>
      </c>
    </row>
    <row r="18" customFormat="false" ht="15" hidden="false" customHeight="true" outlineLevel="0" collapsed="false">
      <c r="A18" s="9" t="s">
        <v>367</v>
      </c>
      <c r="B18" s="9" t="n">
        <v>23200</v>
      </c>
      <c r="C18" s="8" t="s">
        <v>368</v>
      </c>
      <c r="D18" s="8" t="s">
        <v>328</v>
      </c>
      <c r="E18" s="8" t="s">
        <v>329</v>
      </c>
      <c r="F18" s="17" t="n">
        <v>204</v>
      </c>
      <c r="G18" s="9" t="n">
        <v>3</v>
      </c>
      <c r="H18" s="9" t="n">
        <v>1</v>
      </c>
      <c r="I18" s="18" t="n">
        <v>37.2395238915246</v>
      </c>
      <c r="J18" s="18" t="n">
        <v>127.030625924909</v>
      </c>
      <c r="K18" s="8" t="s">
        <v>337</v>
      </c>
      <c r="L18" s="8" t="s">
        <v>331</v>
      </c>
      <c r="M18" s="14"/>
      <c r="N18" s="14"/>
      <c r="O18" s="9" t="s">
        <v>237</v>
      </c>
      <c r="P18" s="8" t="s">
        <v>35</v>
      </c>
      <c r="Q18" s="9"/>
    </row>
    <row r="19" customFormat="false" ht="15" hidden="false" customHeight="true" outlineLevel="0" collapsed="false">
      <c r="A19" s="9" t="s">
        <v>369</v>
      </c>
      <c r="B19" s="9" t="n">
        <v>23800</v>
      </c>
      <c r="C19" s="8" t="s">
        <v>370</v>
      </c>
      <c r="D19" s="8" t="s">
        <v>328</v>
      </c>
      <c r="E19" s="8" t="s">
        <v>329</v>
      </c>
      <c r="F19" s="17" t="n">
        <v>56</v>
      </c>
      <c r="G19" s="9" t="n">
        <v>0</v>
      </c>
      <c r="H19" s="9" t="n">
        <v>2</v>
      </c>
      <c r="I19" s="18" t="n">
        <v>37.2958442232001</v>
      </c>
      <c r="J19" s="18" t="n">
        <v>126.992244678494</v>
      </c>
      <c r="K19" s="8" t="s">
        <v>337</v>
      </c>
      <c r="L19" s="8" t="s">
        <v>331</v>
      </c>
      <c r="M19" s="14"/>
      <c r="N19" s="14"/>
      <c r="O19" s="9" t="s">
        <v>237</v>
      </c>
      <c r="P19" s="8" t="s">
        <v>35</v>
      </c>
      <c r="Q19" s="9"/>
    </row>
    <row r="20" customFormat="false" ht="15" hidden="false" customHeight="true" outlineLevel="0" collapsed="false">
      <c r="A20" s="9" t="s">
        <v>371</v>
      </c>
      <c r="B20" s="9" t="n">
        <v>24000</v>
      </c>
      <c r="C20" s="8" t="s">
        <v>372</v>
      </c>
      <c r="D20" s="8" t="s">
        <v>328</v>
      </c>
      <c r="E20" s="8" t="s">
        <v>329</v>
      </c>
      <c r="F20" s="17" t="n">
        <v>66</v>
      </c>
      <c r="G20" s="9" t="n">
        <v>2</v>
      </c>
      <c r="H20" s="9" t="n">
        <v>0</v>
      </c>
      <c r="I20" s="18" t="n">
        <v>37.259191101267</v>
      </c>
      <c r="J20" s="18" t="n">
        <v>127.018871557752</v>
      </c>
      <c r="K20" s="8" t="s">
        <v>337</v>
      </c>
      <c r="L20" s="8" t="s">
        <v>331</v>
      </c>
      <c r="M20" s="14"/>
      <c r="N20" s="14"/>
      <c r="O20" s="9" t="s">
        <v>237</v>
      </c>
      <c r="P20" s="8" t="s">
        <v>35</v>
      </c>
      <c r="Q20" s="9"/>
    </row>
    <row r="21" customFormat="false" ht="15" hidden="false" customHeight="true" outlineLevel="0" collapsed="false">
      <c r="A21" s="9" t="s">
        <v>373</v>
      </c>
      <c r="B21" s="9" t="n">
        <v>24200</v>
      </c>
      <c r="C21" s="8" t="s">
        <v>374</v>
      </c>
      <c r="D21" s="8" t="s">
        <v>328</v>
      </c>
      <c r="E21" s="8" t="s">
        <v>329</v>
      </c>
      <c r="F21" s="17" t="n">
        <v>200</v>
      </c>
      <c r="G21" s="9" t="n">
        <v>2</v>
      </c>
      <c r="H21" s="9" t="n">
        <v>8</v>
      </c>
      <c r="I21" s="18" t="n">
        <v>37.2701657524283</v>
      </c>
      <c r="J21" s="18" t="n">
        <v>127.055170293261</v>
      </c>
      <c r="K21" s="8" t="s">
        <v>337</v>
      </c>
      <c r="L21" s="8" t="s">
        <v>331</v>
      </c>
      <c r="M21" s="14"/>
      <c r="N21" s="14"/>
      <c r="O21" s="9" t="s">
        <v>237</v>
      </c>
      <c r="P21" s="8" t="s">
        <v>35</v>
      </c>
      <c r="Q21" s="9"/>
    </row>
    <row r="22" customFormat="false" ht="15" hidden="false" customHeight="true" outlineLevel="0" collapsed="false">
      <c r="A22" s="9" t="s">
        <v>375</v>
      </c>
      <c r="B22" s="9" t="n">
        <v>24400</v>
      </c>
      <c r="C22" s="8" t="s">
        <v>376</v>
      </c>
      <c r="D22" s="8" t="s">
        <v>328</v>
      </c>
      <c r="E22" s="8" t="s">
        <v>329</v>
      </c>
      <c r="F22" s="17" t="n">
        <v>119</v>
      </c>
      <c r="G22" s="9" t="n">
        <v>2</v>
      </c>
      <c r="H22" s="9" t="n">
        <v>0</v>
      </c>
      <c r="I22" s="18" t="n">
        <v>37.2866978059536</v>
      </c>
      <c r="J22" s="18" t="n">
        <v>127.032819918078</v>
      </c>
      <c r="K22" s="8" t="s">
        <v>337</v>
      </c>
      <c r="L22" s="8" t="s">
        <v>331</v>
      </c>
      <c r="M22" s="14"/>
      <c r="N22" s="14"/>
      <c r="O22" s="9" t="s">
        <v>237</v>
      </c>
      <c r="P22" s="8" t="s">
        <v>35</v>
      </c>
      <c r="Q22" s="9"/>
    </row>
    <row r="23" customFormat="false" ht="15" hidden="false" customHeight="true" outlineLevel="0" collapsed="false">
      <c r="A23" s="9" t="s">
        <v>377</v>
      </c>
      <c r="B23" s="9" t="n">
        <v>24600</v>
      </c>
      <c r="C23" s="8" t="s">
        <v>378</v>
      </c>
      <c r="D23" s="8" t="s">
        <v>328</v>
      </c>
      <c r="E23" s="8" t="s">
        <v>329</v>
      </c>
      <c r="F23" s="17" t="n">
        <v>222</v>
      </c>
      <c r="G23" s="9" t="n">
        <v>2</v>
      </c>
      <c r="H23" s="9" t="n">
        <v>2</v>
      </c>
      <c r="I23" s="18" t="n">
        <v>37.2671334052921</v>
      </c>
      <c r="J23" s="18" t="n">
        <v>127.045480396114</v>
      </c>
      <c r="K23" s="8" t="s">
        <v>337</v>
      </c>
      <c r="L23" s="8" t="s">
        <v>331</v>
      </c>
      <c r="M23" s="14"/>
      <c r="N23" s="14"/>
      <c r="O23" s="9" t="s">
        <v>237</v>
      </c>
      <c r="P23" s="8" t="s">
        <v>35</v>
      </c>
      <c r="Q23" s="9"/>
    </row>
    <row r="24" customFormat="false" ht="15" hidden="false" customHeight="true" outlineLevel="0" collapsed="false">
      <c r="A24" s="9" t="s">
        <v>379</v>
      </c>
      <c r="B24" s="9" t="n">
        <v>24800</v>
      </c>
      <c r="C24" s="8" t="s">
        <v>380</v>
      </c>
      <c r="D24" s="8" t="s">
        <v>328</v>
      </c>
      <c r="E24" s="8" t="s">
        <v>329</v>
      </c>
      <c r="F24" s="17" t="n">
        <v>497</v>
      </c>
      <c r="G24" s="9" t="n">
        <v>0</v>
      </c>
      <c r="H24" s="9" t="n">
        <v>0</v>
      </c>
      <c r="I24" s="18" t="n">
        <v>37.2896124781195</v>
      </c>
      <c r="J24" s="18" t="n">
        <v>127.01625643501</v>
      </c>
      <c r="K24" s="8" t="s">
        <v>337</v>
      </c>
      <c r="L24" s="8" t="s">
        <v>331</v>
      </c>
      <c r="M24" s="14"/>
      <c r="N24" s="14"/>
      <c r="O24" s="9" t="s">
        <v>237</v>
      </c>
      <c r="P24" s="8" t="s">
        <v>35</v>
      </c>
      <c r="Q24" s="9"/>
    </row>
    <row r="25" customFormat="false" ht="29.25" hidden="false" customHeight="true" outlineLevel="0" collapsed="false">
      <c r="A25" s="9" t="s">
        <v>381</v>
      </c>
      <c r="B25" s="9" t="n">
        <v>25000</v>
      </c>
      <c r="C25" s="8" t="s">
        <v>382</v>
      </c>
      <c r="D25" s="8" t="s">
        <v>328</v>
      </c>
      <c r="E25" s="8" t="s">
        <v>329</v>
      </c>
      <c r="F25" s="17" t="n">
        <v>396</v>
      </c>
      <c r="G25" s="9" t="n">
        <v>8</v>
      </c>
      <c r="H25" s="9" t="n">
        <v>4</v>
      </c>
      <c r="I25" s="18" t="n">
        <v>37.2766</v>
      </c>
      <c r="J25" s="18" t="n">
        <v>127.0662</v>
      </c>
      <c r="K25" s="8" t="s">
        <v>330</v>
      </c>
      <c r="L25" s="8" t="s">
        <v>331</v>
      </c>
      <c r="M25" s="14"/>
      <c r="N25" s="14"/>
      <c r="O25" s="9" t="s">
        <v>237</v>
      </c>
      <c r="P25" s="8" t="s">
        <v>37</v>
      </c>
      <c r="Q25" s="8" t="s">
        <v>332</v>
      </c>
    </row>
    <row r="26" customFormat="false" ht="15" hidden="false" customHeight="true" outlineLevel="0" collapsed="false">
      <c r="A26" s="9" t="s">
        <v>383</v>
      </c>
      <c r="B26" s="9" t="n">
        <v>25200</v>
      </c>
      <c r="C26" s="8" t="s">
        <v>384</v>
      </c>
      <c r="D26" s="8" t="s">
        <v>328</v>
      </c>
      <c r="E26" s="8" t="s">
        <v>329</v>
      </c>
      <c r="F26" s="17" t="n">
        <v>87</v>
      </c>
      <c r="G26" s="9" t="n">
        <v>2</v>
      </c>
      <c r="H26" s="9" t="n">
        <v>0</v>
      </c>
      <c r="I26" s="18" t="n">
        <v>37.2913441842441</v>
      </c>
      <c r="J26" s="18" t="n">
        <v>127.027996442591</v>
      </c>
      <c r="K26" s="8" t="s">
        <v>337</v>
      </c>
      <c r="L26" s="8" t="s">
        <v>331</v>
      </c>
      <c r="M26" s="14"/>
      <c r="N26" s="14"/>
      <c r="O26" s="9" t="s">
        <v>237</v>
      </c>
      <c r="P26" s="8" t="s">
        <v>35</v>
      </c>
      <c r="Q26" s="9"/>
    </row>
    <row r="27" customFormat="false" ht="29.25" hidden="false" customHeight="true" outlineLevel="0" collapsed="false">
      <c r="A27" s="9" t="s">
        <v>385</v>
      </c>
      <c r="B27" s="9" t="n">
        <v>25400</v>
      </c>
      <c r="C27" s="8" t="s">
        <v>386</v>
      </c>
      <c r="D27" s="8" t="s">
        <v>328</v>
      </c>
      <c r="E27" s="8" t="s">
        <v>329</v>
      </c>
      <c r="F27" s="17" t="n">
        <v>229</v>
      </c>
      <c r="G27" s="9" t="n">
        <v>11</v>
      </c>
      <c r="H27" s="9" t="n">
        <v>0</v>
      </c>
      <c r="I27" s="18" t="n">
        <v>37.281</v>
      </c>
      <c r="J27" s="18" t="n">
        <v>127.069</v>
      </c>
      <c r="K27" s="8" t="s">
        <v>330</v>
      </c>
      <c r="L27" s="8" t="s">
        <v>331</v>
      </c>
      <c r="M27" s="14"/>
      <c r="N27" s="14"/>
      <c r="O27" s="9" t="s">
        <v>237</v>
      </c>
      <c r="P27" s="8" t="s">
        <v>37</v>
      </c>
      <c r="Q27" s="8" t="s">
        <v>332</v>
      </c>
    </row>
    <row r="28" customFormat="false" ht="15" hidden="false" customHeight="true" outlineLevel="0" collapsed="false">
      <c r="A28" s="9" t="s">
        <v>387</v>
      </c>
      <c r="B28" s="9" t="n">
        <v>25600</v>
      </c>
      <c r="C28" s="8" t="s">
        <v>388</v>
      </c>
      <c r="D28" s="8" t="s">
        <v>328</v>
      </c>
      <c r="E28" s="8" t="s">
        <v>329</v>
      </c>
      <c r="F28" s="17" t="n">
        <v>245</v>
      </c>
      <c r="G28" s="9" t="n">
        <v>6</v>
      </c>
      <c r="H28" s="9" t="n">
        <v>6</v>
      </c>
      <c r="I28" s="18" t="n">
        <v>37.2844839388192</v>
      </c>
      <c r="J28" s="18" t="n">
        <v>127.077399865709</v>
      </c>
      <c r="K28" s="8" t="s">
        <v>337</v>
      </c>
      <c r="L28" s="8" t="s">
        <v>331</v>
      </c>
      <c r="M28" s="14"/>
      <c r="N28" s="14"/>
      <c r="O28" s="9" t="s">
        <v>237</v>
      </c>
      <c r="P28" s="8" t="s">
        <v>35</v>
      </c>
      <c r="Q28" s="9"/>
    </row>
    <row r="29" customFormat="false" ht="15" hidden="false" customHeight="true" outlineLevel="0" collapsed="false">
      <c r="A29" s="9" t="s">
        <v>389</v>
      </c>
      <c r="B29" s="9" t="n">
        <v>25800</v>
      </c>
      <c r="C29" s="8" t="s">
        <v>390</v>
      </c>
      <c r="D29" s="8" t="s">
        <v>328</v>
      </c>
      <c r="E29" s="8" t="s">
        <v>329</v>
      </c>
      <c r="F29" s="17" t="n">
        <v>64</v>
      </c>
      <c r="G29" s="9" t="n">
        <v>1</v>
      </c>
      <c r="H29" s="9" t="n">
        <v>0</v>
      </c>
      <c r="I29" s="18" t="n">
        <v>37.2942401</v>
      </c>
      <c r="J29" s="18" t="n">
        <v>127.0517109</v>
      </c>
      <c r="K29" s="8" t="s">
        <v>337</v>
      </c>
      <c r="L29" s="8" t="s">
        <v>331</v>
      </c>
      <c r="M29" s="14"/>
      <c r="N29" s="14"/>
      <c r="O29" s="9" t="s">
        <v>237</v>
      </c>
      <c r="P29" s="8" t="s">
        <v>35</v>
      </c>
      <c r="Q29" s="9"/>
    </row>
    <row r="30" customFormat="false" ht="29.25" hidden="false" customHeight="true" outlineLevel="0" collapsed="false">
      <c r="A30" s="9" t="s">
        <v>391</v>
      </c>
      <c r="B30" s="9" t="n">
        <v>26000</v>
      </c>
      <c r="C30" s="8" t="s">
        <v>392</v>
      </c>
      <c r="D30" s="8" t="s">
        <v>328</v>
      </c>
      <c r="E30" s="8" t="s">
        <v>329</v>
      </c>
      <c r="F30" s="17" t="n">
        <v>46</v>
      </c>
      <c r="G30" s="9" t="n">
        <v>0</v>
      </c>
      <c r="H30" s="9" t="n">
        <v>0</v>
      </c>
      <c r="I30" s="18" t="n">
        <v>37.2777</v>
      </c>
      <c r="J30" s="18" t="n">
        <v>127.0503</v>
      </c>
      <c r="K30" s="8" t="s">
        <v>330</v>
      </c>
      <c r="L30" s="8" t="s">
        <v>331</v>
      </c>
      <c r="M30" s="14"/>
      <c r="N30" s="14"/>
      <c r="O30" s="9" t="s">
        <v>237</v>
      </c>
      <c r="P30" s="8" t="s">
        <v>37</v>
      </c>
      <c r="Q30" s="8" t="s">
        <v>332</v>
      </c>
    </row>
    <row r="31" customFormat="false" ht="15" hidden="false" customHeight="true" outlineLevel="0" collapsed="false">
      <c r="A31" s="9" t="s">
        <v>393</v>
      </c>
      <c r="B31" s="9" t="n">
        <v>26200</v>
      </c>
      <c r="C31" s="8" t="s">
        <v>394</v>
      </c>
      <c r="D31" s="8" t="s">
        <v>328</v>
      </c>
      <c r="E31" s="8" t="s">
        <v>329</v>
      </c>
      <c r="F31" s="17" t="n">
        <v>35</v>
      </c>
      <c r="G31" s="9" t="n">
        <v>0</v>
      </c>
      <c r="H31" s="9" t="n">
        <v>0</v>
      </c>
      <c r="I31" s="18" t="n">
        <v>37.298421</v>
      </c>
      <c r="J31" s="18" t="n">
        <v>127.043662</v>
      </c>
      <c r="K31" s="8" t="s">
        <v>337</v>
      </c>
      <c r="L31" s="8" t="s">
        <v>331</v>
      </c>
      <c r="M31" s="14"/>
      <c r="N31" s="14"/>
      <c r="O31" s="9" t="s">
        <v>237</v>
      </c>
      <c r="P31" s="8" t="s">
        <v>35</v>
      </c>
      <c r="Q31" s="9"/>
    </row>
    <row r="32" customFormat="false" ht="15" hidden="false" customHeight="true" outlineLevel="0" collapsed="false">
      <c r="A32" s="9" t="s">
        <v>395</v>
      </c>
      <c r="B32" s="9" t="n">
        <v>26400</v>
      </c>
      <c r="C32" s="8" t="s">
        <v>396</v>
      </c>
      <c r="D32" s="8" t="s">
        <v>328</v>
      </c>
      <c r="E32" s="8" t="s">
        <v>329</v>
      </c>
      <c r="F32" s="17" t="n">
        <v>50</v>
      </c>
      <c r="G32" s="9" t="n">
        <v>1</v>
      </c>
      <c r="H32" s="9" t="n">
        <v>0</v>
      </c>
      <c r="I32" s="18" t="n">
        <v>37.2991569</v>
      </c>
      <c r="J32" s="18" t="n">
        <v>127.044215</v>
      </c>
      <c r="K32" s="8" t="s">
        <v>337</v>
      </c>
      <c r="L32" s="8" t="s">
        <v>331</v>
      </c>
      <c r="M32" s="14"/>
      <c r="N32" s="14"/>
      <c r="O32" s="9" t="s">
        <v>237</v>
      </c>
      <c r="P32" s="8" t="s">
        <v>35</v>
      </c>
      <c r="Q32" s="9"/>
    </row>
    <row r="33" customFormat="false" ht="15" hidden="false" customHeight="true" outlineLevel="0" collapsed="false">
      <c r="A33" s="9" t="s">
        <v>397</v>
      </c>
      <c r="B33" s="9" t="n">
        <v>26600</v>
      </c>
      <c r="C33" s="8" t="s">
        <v>398</v>
      </c>
      <c r="D33" s="8" t="s">
        <v>328</v>
      </c>
      <c r="E33" s="8" t="s">
        <v>329</v>
      </c>
      <c r="F33" s="17" t="n">
        <v>163</v>
      </c>
      <c r="G33" s="9" t="n">
        <v>0</v>
      </c>
      <c r="H33" s="9" t="n">
        <v>0</v>
      </c>
      <c r="I33" s="18" t="n">
        <v>37.2865356631144</v>
      </c>
      <c r="J33" s="18" t="n">
        <v>127.014388288797</v>
      </c>
      <c r="K33" s="8" t="s">
        <v>337</v>
      </c>
      <c r="L33" s="8" t="s">
        <v>331</v>
      </c>
      <c r="M33" s="14"/>
      <c r="N33" s="14"/>
      <c r="O33" s="9" t="s">
        <v>237</v>
      </c>
      <c r="P33" s="8" t="s">
        <v>35</v>
      </c>
      <c r="Q33" s="9"/>
    </row>
    <row r="34" customFormat="false" ht="15" hidden="false" customHeight="true" outlineLevel="0" collapsed="false">
      <c r="A34" s="9" t="s">
        <v>399</v>
      </c>
      <c r="B34" s="9" t="n">
        <v>26800</v>
      </c>
      <c r="C34" s="8" t="s">
        <v>400</v>
      </c>
      <c r="D34" s="8" t="s">
        <v>328</v>
      </c>
      <c r="E34" s="8" t="s">
        <v>329</v>
      </c>
      <c r="F34" s="17" t="n">
        <v>76</v>
      </c>
      <c r="G34" s="9" t="n">
        <v>3</v>
      </c>
      <c r="H34" s="9" t="n">
        <v>0</v>
      </c>
      <c r="I34" s="18" t="n">
        <v>37.301889</v>
      </c>
      <c r="J34" s="18" t="n">
        <v>126.998527</v>
      </c>
      <c r="K34" s="8" t="s">
        <v>337</v>
      </c>
      <c r="L34" s="8" t="s">
        <v>331</v>
      </c>
      <c r="M34" s="14"/>
      <c r="N34" s="14"/>
      <c r="O34" s="9" t="s">
        <v>237</v>
      </c>
      <c r="P34" s="8" t="s">
        <v>35</v>
      </c>
      <c r="Q34" s="9"/>
    </row>
    <row r="35" customFormat="false" ht="15" hidden="false" customHeight="true" outlineLevel="0" collapsed="false">
      <c r="A35" s="9" t="s">
        <v>401</v>
      </c>
      <c r="B35" s="9" t="n">
        <v>26801</v>
      </c>
      <c r="C35" s="8" t="s">
        <v>402</v>
      </c>
      <c r="D35" s="8" t="s">
        <v>328</v>
      </c>
      <c r="E35" s="8" t="s">
        <v>329</v>
      </c>
      <c r="F35" s="17" t="n">
        <v>61</v>
      </c>
      <c r="G35" s="9" t="n">
        <v>1</v>
      </c>
      <c r="H35" s="9" t="n">
        <v>0</v>
      </c>
      <c r="I35" s="18" t="n">
        <v>37.302503</v>
      </c>
      <c r="J35" s="18" t="n">
        <v>127.002352</v>
      </c>
      <c r="K35" s="8" t="s">
        <v>337</v>
      </c>
      <c r="L35" s="8" t="s">
        <v>331</v>
      </c>
      <c r="M35" s="14"/>
      <c r="N35" s="14"/>
      <c r="O35" s="9" t="s">
        <v>237</v>
      </c>
      <c r="P35" s="8" t="s">
        <v>35</v>
      </c>
      <c r="Q35" s="9"/>
    </row>
    <row r="36" customFormat="false" ht="15" hidden="false" customHeight="true" outlineLevel="0" collapsed="false">
      <c r="A36" s="9" t="s">
        <v>403</v>
      </c>
      <c r="B36" s="9" t="n">
        <v>26802</v>
      </c>
      <c r="C36" s="8" t="s">
        <v>404</v>
      </c>
      <c r="D36" s="8" t="s">
        <v>328</v>
      </c>
      <c r="E36" s="8" t="s">
        <v>329</v>
      </c>
      <c r="F36" s="17" t="n">
        <v>50</v>
      </c>
      <c r="G36" s="9" t="n">
        <v>1</v>
      </c>
      <c r="H36" s="9" t="n">
        <v>0</v>
      </c>
      <c r="I36" s="18" t="n">
        <v>37.3014700157064</v>
      </c>
      <c r="J36" s="18" t="n">
        <v>127.003769045142</v>
      </c>
      <c r="K36" s="8" t="s">
        <v>337</v>
      </c>
      <c r="L36" s="8" t="s">
        <v>331</v>
      </c>
      <c r="M36" s="14"/>
      <c r="N36" s="14"/>
      <c r="O36" s="9" t="s">
        <v>237</v>
      </c>
      <c r="P36" s="8" t="s">
        <v>35</v>
      </c>
      <c r="Q36" s="9"/>
    </row>
    <row r="37" customFormat="false" ht="29.25" hidden="false" customHeight="true" outlineLevel="0" collapsed="false">
      <c r="A37" s="9" t="s">
        <v>405</v>
      </c>
      <c r="B37" s="9" t="n">
        <v>26803</v>
      </c>
      <c r="C37" s="8" t="s">
        <v>406</v>
      </c>
      <c r="D37" s="8" t="s">
        <v>328</v>
      </c>
      <c r="E37" s="8" t="s">
        <v>329</v>
      </c>
      <c r="F37" s="17" t="n">
        <v>43</v>
      </c>
      <c r="G37" s="9" t="n">
        <v>0</v>
      </c>
      <c r="H37" s="9" t="n">
        <v>0</v>
      </c>
      <c r="I37" s="18" t="n">
        <v>37.2996</v>
      </c>
      <c r="J37" s="18" t="n">
        <v>127.0045</v>
      </c>
      <c r="K37" s="8" t="s">
        <v>330</v>
      </c>
      <c r="L37" s="8" t="s">
        <v>331</v>
      </c>
      <c r="M37" s="14"/>
      <c r="N37" s="14"/>
      <c r="O37" s="9" t="s">
        <v>237</v>
      </c>
      <c r="P37" s="8" t="s">
        <v>37</v>
      </c>
      <c r="Q37" s="8" t="s">
        <v>332</v>
      </c>
    </row>
    <row r="38" customFormat="false" ht="15" hidden="false" customHeight="true" outlineLevel="0" collapsed="false">
      <c r="A38" s="9" t="s">
        <v>407</v>
      </c>
      <c r="B38" s="9" t="n">
        <v>27000</v>
      </c>
      <c r="C38" s="8" t="s">
        <v>408</v>
      </c>
      <c r="D38" s="8" t="s">
        <v>328</v>
      </c>
      <c r="E38" s="8" t="s">
        <v>329</v>
      </c>
      <c r="F38" s="17" t="n">
        <v>158</v>
      </c>
      <c r="G38" s="9" t="n">
        <v>4</v>
      </c>
      <c r="H38" s="9" t="n">
        <v>0</v>
      </c>
      <c r="I38" s="18" t="n">
        <v>37.2877839498821</v>
      </c>
      <c r="J38" s="18" t="n">
        <v>127.020526643463</v>
      </c>
      <c r="K38" s="8" t="s">
        <v>337</v>
      </c>
      <c r="L38" s="8" t="s">
        <v>331</v>
      </c>
      <c r="M38" s="14"/>
      <c r="N38" s="14"/>
      <c r="O38" s="9" t="s">
        <v>237</v>
      </c>
      <c r="P38" s="8" t="s">
        <v>35</v>
      </c>
      <c r="Q38" s="9"/>
    </row>
    <row r="39" customFormat="false" ht="29.25" hidden="false" customHeight="true" outlineLevel="0" collapsed="false">
      <c r="A39" s="9" t="s">
        <v>409</v>
      </c>
      <c r="B39" s="9" t="n">
        <v>30400</v>
      </c>
      <c r="C39" s="8" t="s">
        <v>410</v>
      </c>
      <c r="D39" s="8" t="s">
        <v>348</v>
      </c>
      <c r="E39" s="8" t="s">
        <v>349</v>
      </c>
      <c r="F39" s="17" t="n">
        <v>748</v>
      </c>
      <c r="G39" s="9" t="n">
        <v>13</v>
      </c>
      <c r="H39" s="9" t="n">
        <v>3</v>
      </c>
      <c r="I39" s="18" t="n">
        <v>37.2549884</v>
      </c>
      <c r="J39" s="18" t="n">
        <v>127.032057</v>
      </c>
      <c r="K39" s="8" t="s">
        <v>337</v>
      </c>
      <c r="L39" s="8" t="s">
        <v>350</v>
      </c>
      <c r="M39" s="14"/>
      <c r="N39" s="14"/>
      <c r="O39" s="9" t="s">
        <v>237</v>
      </c>
      <c r="P39" s="8" t="s">
        <v>35</v>
      </c>
      <c r="Q39" s="9"/>
    </row>
    <row r="40" customFormat="false" ht="15" hidden="false" customHeight="true" outlineLevel="0" collapsed="false">
      <c r="A40" s="9" t="s">
        <v>411</v>
      </c>
      <c r="B40" s="9" t="n">
        <v>30800</v>
      </c>
      <c r="C40" s="8" t="s">
        <v>412</v>
      </c>
      <c r="D40" s="8" t="s">
        <v>413</v>
      </c>
      <c r="E40" s="8" t="s">
        <v>329</v>
      </c>
      <c r="F40" s="17" t="n">
        <v>91</v>
      </c>
      <c r="G40" s="9" t="n">
        <v>5</v>
      </c>
      <c r="H40" s="9" t="n">
        <v>0</v>
      </c>
      <c r="I40" s="18" t="n">
        <v>37.2629442</v>
      </c>
      <c r="J40" s="18" t="n">
        <v>127.0284411</v>
      </c>
      <c r="K40" s="8" t="s">
        <v>337</v>
      </c>
      <c r="L40" s="8" t="s">
        <v>331</v>
      </c>
      <c r="M40" s="14"/>
      <c r="N40" s="14"/>
      <c r="O40" s="9" t="s">
        <v>237</v>
      </c>
      <c r="P40" s="8" t="s">
        <v>35</v>
      </c>
      <c r="Q40" s="9"/>
    </row>
    <row r="41" customFormat="false" ht="15" hidden="false" customHeight="true" outlineLevel="0" collapsed="false">
      <c r="A41" s="9" t="s">
        <v>414</v>
      </c>
      <c r="B41" s="9" t="n">
        <v>31000</v>
      </c>
      <c r="C41" s="8" t="s">
        <v>415</v>
      </c>
      <c r="D41" s="8" t="s">
        <v>413</v>
      </c>
      <c r="E41" s="8" t="s">
        <v>329</v>
      </c>
      <c r="F41" s="17" t="n">
        <v>65</v>
      </c>
      <c r="G41" s="9" t="n">
        <v>2</v>
      </c>
      <c r="H41" s="9" t="n">
        <v>0</v>
      </c>
      <c r="I41" s="18" t="n">
        <v>37.2835622683287</v>
      </c>
      <c r="J41" s="18" t="n">
        <v>127.010932152228</v>
      </c>
      <c r="K41" s="8" t="s">
        <v>337</v>
      </c>
      <c r="L41" s="8" t="s">
        <v>331</v>
      </c>
      <c r="M41" s="14"/>
      <c r="N41" s="14"/>
      <c r="O41" s="9" t="s">
        <v>237</v>
      </c>
      <c r="P41" s="8" t="s">
        <v>35</v>
      </c>
      <c r="Q41" s="9"/>
    </row>
    <row r="42" customFormat="false" ht="29.25" hidden="false" customHeight="true" outlineLevel="0" collapsed="false">
      <c r="A42" s="9" t="s">
        <v>416</v>
      </c>
      <c r="B42" s="9" t="n">
        <v>31200</v>
      </c>
      <c r="C42" s="8" t="s">
        <v>417</v>
      </c>
      <c r="D42" s="8" t="s">
        <v>413</v>
      </c>
      <c r="E42" s="8" t="s">
        <v>329</v>
      </c>
      <c r="F42" s="17" t="n">
        <v>251</v>
      </c>
      <c r="G42" s="9" t="n">
        <v>0</v>
      </c>
      <c r="H42" s="9" t="n">
        <v>0</v>
      </c>
      <c r="I42" s="18" t="n">
        <v>37.2636</v>
      </c>
      <c r="J42" s="18" t="n">
        <v>127.0262</v>
      </c>
      <c r="K42" s="8" t="s">
        <v>330</v>
      </c>
      <c r="L42" s="8" t="s">
        <v>331</v>
      </c>
      <c r="M42" s="14"/>
      <c r="N42" s="14"/>
      <c r="O42" s="9" t="s">
        <v>237</v>
      </c>
      <c r="P42" s="8" t="s">
        <v>37</v>
      </c>
      <c r="Q42" s="8" t="s">
        <v>332</v>
      </c>
    </row>
    <row r="43" customFormat="false" ht="15" hidden="false" customHeight="true" outlineLevel="0" collapsed="false">
      <c r="A43" s="9" t="s">
        <v>418</v>
      </c>
      <c r="B43" s="9" t="n">
        <v>31400</v>
      </c>
      <c r="C43" s="8" t="s">
        <v>419</v>
      </c>
      <c r="D43" s="8" t="s">
        <v>413</v>
      </c>
      <c r="E43" s="8" t="s">
        <v>329</v>
      </c>
      <c r="F43" s="17" t="n">
        <v>292</v>
      </c>
      <c r="G43" s="9" t="n">
        <v>5</v>
      </c>
      <c r="H43" s="9" t="n">
        <v>3</v>
      </c>
      <c r="I43" s="18" t="n">
        <v>37.2591789418968</v>
      </c>
      <c r="J43" s="18" t="n">
        <v>127.045971088766</v>
      </c>
      <c r="K43" s="8" t="s">
        <v>337</v>
      </c>
      <c r="L43" s="8" t="s">
        <v>331</v>
      </c>
      <c r="M43" s="14"/>
      <c r="N43" s="14"/>
      <c r="O43" s="9" t="s">
        <v>237</v>
      </c>
      <c r="P43" s="8" t="s">
        <v>35</v>
      </c>
      <c r="Q43" s="9"/>
    </row>
    <row r="44" customFormat="false" ht="15" hidden="false" customHeight="true" outlineLevel="0" collapsed="false">
      <c r="A44" s="9" t="s">
        <v>420</v>
      </c>
      <c r="B44" s="9" t="n">
        <v>31600</v>
      </c>
      <c r="C44" s="8" t="s">
        <v>421</v>
      </c>
      <c r="D44" s="8" t="s">
        <v>413</v>
      </c>
      <c r="E44" s="8" t="s">
        <v>329</v>
      </c>
      <c r="F44" s="17" t="n">
        <v>358</v>
      </c>
      <c r="G44" s="9" t="n">
        <v>0</v>
      </c>
      <c r="H44" s="9" t="n">
        <v>4</v>
      </c>
      <c r="I44" s="18" t="n">
        <v>37.2638442</v>
      </c>
      <c r="J44" s="18" t="n">
        <v>127.0282411</v>
      </c>
      <c r="K44" s="8" t="s">
        <v>337</v>
      </c>
      <c r="L44" s="8" t="s">
        <v>331</v>
      </c>
      <c r="M44" s="14"/>
      <c r="N44" s="14"/>
      <c r="O44" s="9" t="s">
        <v>237</v>
      </c>
      <c r="P44" s="8" t="s">
        <v>35</v>
      </c>
      <c r="Q44" s="9"/>
    </row>
    <row r="45" customFormat="false" ht="15" hidden="false" customHeight="true" outlineLevel="0" collapsed="false">
      <c r="A45" s="9" t="s">
        <v>422</v>
      </c>
      <c r="B45" s="9" t="n">
        <v>31800</v>
      </c>
      <c r="C45" s="8" t="s">
        <v>423</v>
      </c>
      <c r="D45" s="8" t="s">
        <v>328</v>
      </c>
      <c r="E45" s="8" t="s">
        <v>329</v>
      </c>
      <c r="F45" s="17" t="n">
        <v>63</v>
      </c>
      <c r="G45" s="9" t="n">
        <v>1</v>
      </c>
      <c r="H45" s="9" t="n">
        <v>0</v>
      </c>
      <c r="I45" s="18" t="n">
        <v>37.2809334027901</v>
      </c>
      <c r="J45" s="18" t="n">
        <v>127.019450825744</v>
      </c>
      <c r="K45" s="8" t="s">
        <v>337</v>
      </c>
      <c r="L45" s="8" t="s">
        <v>331</v>
      </c>
      <c r="M45" s="14"/>
      <c r="N45" s="14"/>
      <c r="O45" s="9" t="s">
        <v>237</v>
      </c>
      <c r="P45" s="8" t="s">
        <v>35</v>
      </c>
      <c r="Q45" s="9"/>
    </row>
    <row r="46" customFormat="false" ht="15" hidden="false" customHeight="true" outlineLevel="0" collapsed="false">
      <c r="A46" s="9" t="s">
        <v>424</v>
      </c>
      <c r="B46" s="9" t="n">
        <v>32200</v>
      </c>
      <c r="C46" s="8" t="s">
        <v>425</v>
      </c>
      <c r="D46" s="8" t="s">
        <v>413</v>
      </c>
      <c r="E46" s="8" t="s">
        <v>329</v>
      </c>
      <c r="F46" s="17" t="n">
        <v>368</v>
      </c>
      <c r="G46" s="9" t="n">
        <v>8</v>
      </c>
      <c r="H46" s="9" t="n">
        <v>2</v>
      </c>
      <c r="I46" s="18" t="n">
        <v>37.2830513909866</v>
      </c>
      <c r="J46" s="18" t="n">
        <v>127.019055088128</v>
      </c>
      <c r="K46" s="8" t="s">
        <v>337</v>
      </c>
      <c r="L46" s="8" t="s">
        <v>331</v>
      </c>
      <c r="M46" s="14"/>
      <c r="N46" s="14"/>
      <c r="O46" s="9" t="s">
        <v>237</v>
      </c>
      <c r="P46" s="8" t="s">
        <v>35</v>
      </c>
      <c r="Q46" s="9"/>
    </row>
    <row r="47" customFormat="false" ht="15" hidden="false" customHeight="true" outlineLevel="0" collapsed="false">
      <c r="A47" s="9" t="s">
        <v>426</v>
      </c>
      <c r="B47" s="9" t="n">
        <v>32400</v>
      </c>
      <c r="C47" s="8" t="s">
        <v>427</v>
      </c>
      <c r="D47" s="8" t="s">
        <v>413</v>
      </c>
      <c r="E47" s="8" t="s">
        <v>329</v>
      </c>
      <c r="F47" s="17" t="n">
        <v>258</v>
      </c>
      <c r="G47" s="9" t="n">
        <v>3</v>
      </c>
      <c r="H47" s="9" t="n">
        <v>2</v>
      </c>
      <c r="I47" s="18" t="n">
        <v>37.2576341602533</v>
      </c>
      <c r="J47" s="18" t="n">
        <v>126.971898464354</v>
      </c>
      <c r="K47" s="8" t="s">
        <v>337</v>
      </c>
      <c r="L47" s="8" t="s">
        <v>331</v>
      </c>
      <c r="M47" s="14"/>
      <c r="N47" s="14"/>
      <c r="O47" s="9" t="s">
        <v>237</v>
      </c>
      <c r="P47" s="8" t="s">
        <v>35</v>
      </c>
      <c r="Q47" s="9"/>
    </row>
    <row r="48" customFormat="false" ht="29.25" hidden="false" customHeight="true" outlineLevel="0" collapsed="false">
      <c r="A48" s="9" t="s">
        <v>428</v>
      </c>
      <c r="B48" s="9" t="n">
        <v>40400</v>
      </c>
      <c r="C48" s="8" t="s">
        <v>429</v>
      </c>
      <c r="D48" s="8" t="s">
        <v>348</v>
      </c>
      <c r="E48" s="8" t="s">
        <v>430</v>
      </c>
      <c r="F48" s="17" t="n">
        <v>325</v>
      </c>
      <c r="G48" s="9" t="n">
        <v>0</v>
      </c>
      <c r="H48" s="9" t="n">
        <v>0</v>
      </c>
      <c r="I48" s="18" t="n">
        <v>37.2748282671745</v>
      </c>
      <c r="J48" s="18" t="n">
        <v>127.028575169484</v>
      </c>
      <c r="K48" s="8" t="s">
        <v>337</v>
      </c>
      <c r="L48" s="8" t="s">
        <v>350</v>
      </c>
      <c r="M48" s="14"/>
      <c r="N48" s="14"/>
      <c r="O48" s="9" t="s">
        <v>237</v>
      </c>
      <c r="P48" s="8" t="s">
        <v>35</v>
      </c>
      <c r="Q48" s="9"/>
    </row>
    <row r="49" customFormat="false" ht="29.25" hidden="false" customHeight="true" outlineLevel="0" collapsed="false">
      <c r="A49" s="9" t="s">
        <v>431</v>
      </c>
      <c r="B49" s="9" t="n">
        <v>40600</v>
      </c>
      <c r="C49" s="8" t="s">
        <v>432</v>
      </c>
      <c r="D49" s="8" t="s">
        <v>348</v>
      </c>
      <c r="E49" s="8" t="s">
        <v>430</v>
      </c>
      <c r="F49" s="17" t="n">
        <v>92</v>
      </c>
      <c r="G49" s="9" t="n">
        <v>0</v>
      </c>
      <c r="H49" s="9" t="n">
        <v>0</v>
      </c>
      <c r="I49" s="18" t="n">
        <v>37.2542817200138</v>
      </c>
      <c r="J49" s="18" t="n">
        <v>127.076212887962</v>
      </c>
      <c r="K49" s="8" t="s">
        <v>337</v>
      </c>
      <c r="L49" s="8" t="s">
        <v>350</v>
      </c>
      <c r="M49" s="14"/>
      <c r="N49" s="14"/>
      <c r="O49" s="9" t="s">
        <v>237</v>
      </c>
      <c r="P49" s="8" t="s">
        <v>35</v>
      </c>
      <c r="Q49" s="9"/>
    </row>
    <row r="50" customFormat="false" ht="29.25" hidden="false" customHeight="true" outlineLevel="0" collapsed="false">
      <c r="A50" s="9" t="s">
        <v>433</v>
      </c>
      <c r="B50" s="9" t="n">
        <v>40800</v>
      </c>
      <c r="C50" s="8" t="s">
        <v>434</v>
      </c>
      <c r="D50" s="8" t="s">
        <v>348</v>
      </c>
      <c r="E50" s="8" t="s">
        <v>430</v>
      </c>
      <c r="F50" s="17" t="n">
        <v>78</v>
      </c>
      <c r="G50" s="9" t="n">
        <v>0</v>
      </c>
      <c r="H50" s="9" t="n">
        <v>0</v>
      </c>
      <c r="I50" s="18" t="n">
        <v>37.2464986586744</v>
      </c>
      <c r="J50" s="18" t="n">
        <v>127.055902880551</v>
      </c>
      <c r="K50" s="8" t="s">
        <v>337</v>
      </c>
      <c r="L50" s="8" t="s">
        <v>350</v>
      </c>
      <c r="M50" s="14"/>
      <c r="N50" s="14"/>
      <c r="O50" s="9" t="s">
        <v>237</v>
      </c>
      <c r="P50" s="8" t="s">
        <v>35</v>
      </c>
      <c r="Q50" s="9"/>
    </row>
    <row r="51" customFormat="false" ht="29.25" hidden="false" customHeight="true" outlineLevel="0" collapsed="false">
      <c r="A51" s="9" t="s">
        <v>435</v>
      </c>
      <c r="B51" s="9" t="n">
        <v>41200</v>
      </c>
      <c r="C51" s="8" t="s">
        <v>436</v>
      </c>
      <c r="D51" s="8" t="s">
        <v>348</v>
      </c>
      <c r="E51" s="8" t="s">
        <v>430</v>
      </c>
      <c r="F51" s="17" t="n">
        <v>58</v>
      </c>
      <c r="G51" s="9" t="n">
        <v>0</v>
      </c>
      <c r="H51" s="9" t="n">
        <v>0</v>
      </c>
      <c r="I51" s="18" t="n">
        <v>37.2602064447115</v>
      </c>
      <c r="J51" s="18" t="n">
        <v>127.044582393812</v>
      </c>
      <c r="K51" s="8" t="s">
        <v>337</v>
      </c>
      <c r="L51" s="8" t="s">
        <v>350</v>
      </c>
      <c r="M51" s="14"/>
      <c r="N51" s="14"/>
      <c r="O51" s="9" t="s">
        <v>237</v>
      </c>
      <c r="P51" s="8" t="s">
        <v>35</v>
      </c>
      <c r="Q51" s="9"/>
    </row>
    <row r="52" customFormat="false" ht="15" hidden="false" customHeight="true" outlineLevel="0" collapsed="false">
      <c r="A52" s="9" t="s">
        <v>437</v>
      </c>
      <c r="B52" s="9" t="n">
        <v>70000</v>
      </c>
      <c r="C52" s="8" t="s">
        <v>438</v>
      </c>
      <c r="D52" s="8" t="s">
        <v>328</v>
      </c>
      <c r="E52" s="8" t="s">
        <v>329</v>
      </c>
      <c r="F52" s="17" t="n">
        <v>62</v>
      </c>
      <c r="G52" s="9" t="n">
        <v>2</v>
      </c>
      <c r="H52" s="9" t="n">
        <v>1</v>
      </c>
      <c r="I52" s="18" t="n">
        <v>37.2483460000625</v>
      </c>
      <c r="J52" s="18" t="n">
        <v>127.044363731465</v>
      </c>
      <c r="K52" s="8" t="s">
        <v>337</v>
      </c>
      <c r="L52" s="8" t="s">
        <v>331</v>
      </c>
      <c r="M52" s="14"/>
      <c r="N52" s="14"/>
      <c r="O52" s="9" t="s">
        <v>237</v>
      </c>
      <c r="P52" s="8" t="s">
        <v>35</v>
      </c>
      <c r="Q52" s="9"/>
    </row>
    <row r="53" customFormat="false" ht="29.25" hidden="false" customHeight="true" outlineLevel="0" collapsed="false">
      <c r="A53" s="9" t="s">
        <v>439</v>
      </c>
      <c r="B53" s="9" t="n">
        <v>70024</v>
      </c>
      <c r="C53" s="8" t="s">
        <v>440</v>
      </c>
      <c r="D53" s="8" t="s">
        <v>348</v>
      </c>
      <c r="E53" s="8" t="s">
        <v>349</v>
      </c>
      <c r="F53" s="17" t="n">
        <v>209</v>
      </c>
      <c r="G53" s="9" t="n">
        <v>4</v>
      </c>
      <c r="H53" s="9" t="n">
        <v>0</v>
      </c>
      <c r="I53" s="18" t="n">
        <v>37.2380230709826</v>
      </c>
      <c r="J53" s="18" t="n">
        <v>126.988335289011</v>
      </c>
      <c r="K53" s="8" t="s">
        <v>337</v>
      </c>
      <c r="L53" s="8" t="s">
        <v>350</v>
      </c>
      <c r="M53" s="14"/>
      <c r="N53" s="14"/>
      <c r="O53" s="9" t="s">
        <v>237</v>
      </c>
      <c r="P53" s="8" t="s">
        <v>35</v>
      </c>
      <c r="Q53" s="9"/>
    </row>
    <row r="54" customFormat="false" ht="15" hidden="false" customHeight="true" outlineLevel="0" collapsed="false">
      <c r="A54" s="9" t="s">
        <v>441</v>
      </c>
      <c r="B54" s="9" t="n">
        <v>70041</v>
      </c>
      <c r="C54" s="8" t="s">
        <v>442</v>
      </c>
      <c r="D54" s="8" t="s">
        <v>413</v>
      </c>
      <c r="E54" s="8" t="s">
        <v>329</v>
      </c>
      <c r="F54" s="17" t="n">
        <v>53</v>
      </c>
      <c r="G54" s="9" t="n">
        <v>1</v>
      </c>
      <c r="H54" s="9" t="n">
        <v>0</v>
      </c>
      <c r="I54" s="18" t="n">
        <v>37.3029355951196</v>
      </c>
      <c r="J54" s="18" t="n">
        <v>127.047443129457</v>
      </c>
      <c r="K54" s="8" t="s">
        <v>337</v>
      </c>
      <c r="L54" s="8" t="s">
        <v>331</v>
      </c>
      <c r="M54" s="14"/>
      <c r="N54" s="14"/>
      <c r="O54" s="9" t="s">
        <v>237</v>
      </c>
      <c r="P54" s="8" t="s">
        <v>35</v>
      </c>
      <c r="Q54" s="9"/>
    </row>
    <row r="55" customFormat="false" ht="15" hidden="false" customHeight="true" outlineLevel="0" collapsed="false">
      <c r="A55" s="9" t="s">
        <v>443</v>
      </c>
      <c r="B55" s="9" t="n">
        <v>70061</v>
      </c>
      <c r="C55" s="8" t="s">
        <v>444</v>
      </c>
      <c r="D55" s="8" t="s">
        <v>328</v>
      </c>
      <c r="E55" s="8" t="s">
        <v>329</v>
      </c>
      <c r="F55" s="17" t="n">
        <v>100</v>
      </c>
      <c r="G55" s="9" t="n">
        <v>2</v>
      </c>
      <c r="H55" s="9" t="n">
        <v>3</v>
      </c>
      <c r="I55" s="18" t="n">
        <v>37.2614859055567</v>
      </c>
      <c r="J55" s="18" t="n">
        <v>126.990340556312</v>
      </c>
      <c r="K55" s="8" t="s">
        <v>337</v>
      </c>
      <c r="L55" s="8" t="s">
        <v>331</v>
      </c>
      <c r="M55" s="14"/>
      <c r="N55" s="14"/>
      <c r="O55" s="9" t="s">
        <v>237</v>
      </c>
      <c r="P55" s="8" t="s">
        <v>35</v>
      </c>
      <c r="Q55" s="9"/>
    </row>
    <row r="56" customFormat="false" ht="15" hidden="false" customHeight="true" outlineLevel="0" collapsed="false">
      <c r="A56" s="9" t="s">
        <v>445</v>
      </c>
      <c r="B56" s="9" t="n">
        <v>70081</v>
      </c>
      <c r="C56" s="8" t="s">
        <v>446</v>
      </c>
      <c r="D56" s="8" t="s">
        <v>328</v>
      </c>
      <c r="E56" s="8" t="s">
        <v>329</v>
      </c>
      <c r="F56" s="17" t="n">
        <v>70</v>
      </c>
      <c r="G56" s="9" t="n">
        <v>4</v>
      </c>
      <c r="H56" s="9" t="n">
        <v>0</v>
      </c>
      <c r="I56" s="18" t="n">
        <v>37.3149029230797</v>
      </c>
      <c r="J56" s="18" t="n">
        <v>127.000520174959</v>
      </c>
      <c r="K56" s="8" t="s">
        <v>337</v>
      </c>
      <c r="L56" s="8" t="s">
        <v>331</v>
      </c>
      <c r="M56" s="14"/>
      <c r="N56" s="14"/>
      <c r="O56" s="9" t="s">
        <v>237</v>
      </c>
      <c r="P56" s="8" t="s">
        <v>35</v>
      </c>
      <c r="Q56" s="9"/>
    </row>
    <row r="57" customFormat="false" ht="29.25" hidden="false" customHeight="true" outlineLevel="0" collapsed="false">
      <c r="A57" s="9" t="s">
        <v>447</v>
      </c>
      <c r="B57" s="9" t="n">
        <v>70121</v>
      </c>
      <c r="C57" s="8" t="s">
        <v>448</v>
      </c>
      <c r="D57" s="8" t="s">
        <v>328</v>
      </c>
      <c r="E57" s="8" t="s">
        <v>329</v>
      </c>
      <c r="F57" s="17" t="n">
        <v>92</v>
      </c>
      <c r="G57" s="9" t="n">
        <v>4</v>
      </c>
      <c r="H57" s="9" t="n">
        <v>1</v>
      </c>
      <c r="I57" s="18" t="n">
        <v>37.2443</v>
      </c>
      <c r="J57" s="18" t="n">
        <v>127.035</v>
      </c>
      <c r="K57" s="8" t="s">
        <v>330</v>
      </c>
      <c r="L57" s="8" t="s">
        <v>331</v>
      </c>
      <c r="M57" s="14"/>
      <c r="N57" s="14"/>
      <c r="O57" s="9" t="s">
        <v>237</v>
      </c>
      <c r="P57" s="8" t="s">
        <v>37</v>
      </c>
      <c r="Q57" s="8" t="s">
        <v>332</v>
      </c>
    </row>
    <row r="58" customFormat="false" ht="15" hidden="false" customHeight="true" outlineLevel="0" collapsed="false">
      <c r="A58" s="9" t="s">
        <v>449</v>
      </c>
      <c r="B58" s="9" t="n">
        <v>70141</v>
      </c>
      <c r="C58" s="8" t="s">
        <v>450</v>
      </c>
      <c r="D58" s="8" t="s">
        <v>413</v>
      </c>
      <c r="E58" s="8" t="s">
        <v>329</v>
      </c>
      <c r="F58" s="17" t="n">
        <v>134</v>
      </c>
      <c r="G58" s="9" t="n">
        <v>4</v>
      </c>
      <c r="H58" s="9" t="n">
        <v>0</v>
      </c>
      <c r="I58" s="18" t="n">
        <v>37.2879189398963</v>
      </c>
      <c r="J58" s="18" t="n">
        <v>126.976832459304</v>
      </c>
      <c r="K58" s="8" t="s">
        <v>337</v>
      </c>
      <c r="L58" s="8" t="s">
        <v>331</v>
      </c>
      <c r="M58" s="14"/>
      <c r="N58" s="14"/>
      <c r="O58" s="9" t="s">
        <v>237</v>
      </c>
      <c r="P58" s="8" t="s">
        <v>35</v>
      </c>
      <c r="Q58" s="9"/>
    </row>
    <row r="59" customFormat="false" ht="15" hidden="false" customHeight="true" outlineLevel="0" collapsed="false">
      <c r="A59" s="9" t="s">
        <v>451</v>
      </c>
      <c r="B59" s="9" t="n">
        <v>70161</v>
      </c>
      <c r="C59" s="8" t="s">
        <v>452</v>
      </c>
      <c r="D59" s="8" t="s">
        <v>328</v>
      </c>
      <c r="E59" s="8" t="s">
        <v>329</v>
      </c>
      <c r="F59" s="17" t="n">
        <v>175</v>
      </c>
      <c r="G59" s="9" t="n">
        <v>2</v>
      </c>
      <c r="H59" s="9" t="n">
        <v>3</v>
      </c>
      <c r="I59" s="18" t="n">
        <v>37.2770530131387</v>
      </c>
      <c r="J59" s="18" t="n">
        <v>127.043430384548</v>
      </c>
      <c r="K59" s="8" t="s">
        <v>337</v>
      </c>
      <c r="L59" s="8" t="s">
        <v>331</v>
      </c>
      <c r="M59" s="14"/>
      <c r="N59" s="14"/>
      <c r="O59" s="9" t="s">
        <v>237</v>
      </c>
      <c r="P59" s="8" t="s">
        <v>35</v>
      </c>
      <c r="Q59" s="9"/>
    </row>
    <row r="60" customFormat="false" ht="15" hidden="false" customHeight="true" outlineLevel="0" collapsed="false">
      <c r="A60" s="9" t="s">
        <v>453</v>
      </c>
      <c r="B60" s="9" t="n">
        <v>70221</v>
      </c>
      <c r="C60" s="8" t="s">
        <v>454</v>
      </c>
      <c r="D60" s="8" t="s">
        <v>328</v>
      </c>
      <c r="E60" s="8" t="s">
        <v>329</v>
      </c>
      <c r="F60" s="17" t="n">
        <v>271</v>
      </c>
      <c r="G60" s="9" t="n">
        <v>3</v>
      </c>
      <c r="H60" s="9" t="n">
        <v>11</v>
      </c>
      <c r="I60" s="18" t="n">
        <v>37.2413105919973</v>
      </c>
      <c r="J60" s="18" t="n">
        <v>127.033556110036</v>
      </c>
      <c r="K60" s="8" t="s">
        <v>337</v>
      </c>
      <c r="L60" s="8" t="s">
        <v>331</v>
      </c>
      <c r="M60" s="14"/>
      <c r="N60" s="14"/>
      <c r="O60" s="9" t="s">
        <v>237</v>
      </c>
      <c r="P60" s="8" t="s">
        <v>35</v>
      </c>
      <c r="Q60" s="9"/>
    </row>
    <row r="61" customFormat="false" ht="15" hidden="false" customHeight="true" outlineLevel="0" collapsed="false">
      <c r="A61" s="9" t="s">
        <v>455</v>
      </c>
      <c r="B61" s="9" t="n">
        <v>70241</v>
      </c>
      <c r="C61" s="8" t="s">
        <v>456</v>
      </c>
      <c r="D61" s="8" t="s">
        <v>328</v>
      </c>
      <c r="E61" s="8" t="s">
        <v>329</v>
      </c>
      <c r="F61" s="17" t="n">
        <v>153</v>
      </c>
      <c r="G61" s="9" t="n">
        <v>3</v>
      </c>
      <c r="H61" s="9" t="n">
        <v>5</v>
      </c>
      <c r="I61" s="18" t="n">
        <v>37.2790511740649</v>
      </c>
      <c r="J61" s="18" t="n">
        <v>127.002332516488</v>
      </c>
      <c r="K61" s="8" t="s">
        <v>337</v>
      </c>
      <c r="L61" s="8" t="s">
        <v>331</v>
      </c>
      <c r="M61" s="14"/>
      <c r="N61" s="14"/>
      <c r="O61" s="9" t="s">
        <v>237</v>
      </c>
      <c r="P61" s="8" t="s">
        <v>35</v>
      </c>
      <c r="Q61" s="9"/>
    </row>
    <row r="62" customFormat="false" ht="15" hidden="false" customHeight="true" outlineLevel="0" collapsed="false">
      <c r="A62" s="9" t="s">
        <v>457</v>
      </c>
      <c r="B62" s="9" t="n">
        <v>70261</v>
      </c>
      <c r="C62" s="8" t="s">
        <v>458</v>
      </c>
      <c r="D62" s="8" t="s">
        <v>328</v>
      </c>
      <c r="E62" s="8" t="s">
        <v>329</v>
      </c>
      <c r="F62" s="17" t="n">
        <v>69</v>
      </c>
      <c r="G62" s="9" t="n">
        <v>1</v>
      </c>
      <c r="H62" s="9" t="n">
        <v>1</v>
      </c>
      <c r="I62" s="18" t="n">
        <v>37.2787499472883</v>
      </c>
      <c r="J62" s="18" t="n">
        <v>126.975842437655</v>
      </c>
      <c r="K62" s="8" t="s">
        <v>337</v>
      </c>
      <c r="L62" s="8" t="s">
        <v>331</v>
      </c>
      <c r="M62" s="14"/>
      <c r="N62" s="14"/>
      <c r="O62" s="9" t="s">
        <v>237</v>
      </c>
      <c r="P62" s="8" t="s">
        <v>35</v>
      </c>
      <c r="Q62" s="9"/>
    </row>
    <row r="63" customFormat="false" ht="29.25" hidden="false" customHeight="true" outlineLevel="0" collapsed="false">
      <c r="A63" s="9" t="s">
        <v>459</v>
      </c>
      <c r="B63" s="9" t="n">
        <v>70321</v>
      </c>
      <c r="C63" s="8" t="s">
        <v>460</v>
      </c>
      <c r="D63" s="8" t="s">
        <v>328</v>
      </c>
      <c r="E63" s="8" t="s">
        <v>329</v>
      </c>
      <c r="F63" s="17" t="n">
        <v>142</v>
      </c>
      <c r="G63" s="9" t="n">
        <v>1</v>
      </c>
      <c r="H63" s="9" t="n">
        <v>6</v>
      </c>
      <c r="I63" s="18" t="n">
        <v>37.2874</v>
      </c>
      <c r="J63" s="18" t="n">
        <v>126.9891</v>
      </c>
      <c r="K63" s="8" t="s">
        <v>330</v>
      </c>
      <c r="L63" s="8" t="s">
        <v>331</v>
      </c>
      <c r="M63" s="14"/>
      <c r="N63" s="14"/>
      <c r="O63" s="9" t="s">
        <v>237</v>
      </c>
      <c r="P63" s="8" t="s">
        <v>37</v>
      </c>
      <c r="Q63" s="8" t="s">
        <v>332</v>
      </c>
    </row>
    <row r="64" customFormat="false" ht="29.25" hidden="false" customHeight="true" outlineLevel="0" collapsed="false">
      <c r="A64" s="9" t="s">
        <v>461</v>
      </c>
      <c r="B64" s="9" t="n">
        <v>70361</v>
      </c>
      <c r="C64" s="8" t="s">
        <v>462</v>
      </c>
      <c r="D64" s="8" t="s">
        <v>328</v>
      </c>
      <c r="E64" s="8" t="s">
        <v>329</v>
      </c>
      <c r="F64" s="17" t="n">
        <v>40</v>
      </c>
      <c r="G64" s="9"/>
      <c r="H64" s="9"/>
      <c r="I64" s="18" t="n">
        <v>37.2734050931479</v>
      </c>
      <c r="J64" s="18" t="n">
        <v>127.0015</v>
      </c>
      <c r="K64" s="8" t="s">
        <v>330</v>
      </c>
      <c r="L64" s="8" t="s">
        <v>331</v>
      </c>
      <c r="M64" s="14"/>
      <c r="N64" s="14"/>
      <c r="O64" s="9" t="s">
        <v>237</v>
      </c>
      <c r="P64" s="8" t="s">
        <v>37</v>
      </c>
      <c r="Q64" s="8" t="s">
        <v>463</v>
      </c>
    </row>
    <row r="65" customFormat="false" ht="29.25" hidden="false" customHeight="true" outlineLevel="0" collapsed="false">
      <c r="A65" s="9" t="s">
        <v>464</v>
      </c>
      <c r="B65" s="9" t="n">
        <v>70401</v>
      </c>
      <c r="C65" s="8" t="s">
        <v>465</v>
      </c>
      <c r="D65" s="8" t="s">
        <v>328</v>
      </c>
      <c r="E65" s="8" t="s">
        <v>329</v>
      </c>
      <c r="F65" s="17" t="n">
        <v>44</v>
      </c>
      <c r="G65" s="9"/>
      <c r="H65" s="9"/>
      <c r="I65" s="18" t="n">
        <v>37.2989934679029</v>
      </c>
      <c r="J65" s="18" t="n">
        <v>126.9722</v>
      </c>
      <c r="K65" s="8" t="s">
        <v>330</v>
      </c>
      <c r="L65" s="8" t="s">
        <v>331</v>
      </c>
      <c r="M65" s="14"/>
      <c r="N65" s="14"/>
      <c r="O65" s="9" t="s">
        <v>237</v>
      </c>
      <c r="P65" s="8" t="s">
        <v>37</v>
      </c>
      <c r="Q65" s="8" t="s">
        <v>463</v>
      </c>
    </row>
    <row r="66" customFormat="false" ht="15" hidden="false" customHeight="true" outlineLevel="0" collapsed="false">
      <c r="A66" s="9" t="s">
        <v>466</v>
      </c>
      <c r="B66" s="9" t="n">
        <v>70422</v>
      </c>
      <c r="C66" s="8" t="s">
        <v>467</v>
      </c>
      <c r="D66" s="8" t="s">
        <v>328</v>
      </c>
      <c r="E66" s="8" t="s">
        <v>329</v>
      </c>
      <c r="F66" s="17" t="n">
        <v>33</v>
      </c>
      <c r="G66" s="9" t="n">
        <v>0</v>
      </c>
      <c r="H66" s="9" t="n">
        <v>0</v>
      </c>
      <c r="I66" s="18" t="n">
        <v>37.3114508</v>
      </c>
      <c r="J66" s="18" t="n">
        <v>127.0541737</v>
      </c>
      <c r="K66" s="8" t="s">
        <v>337</v>
      </c>
      <c r="L66" s="8" t="s">
        <v>331</v>
      </c>
      <c r="M66" s="14"/>
      <c r="N66" s="14"/>
      <c r="O66" s="9" t="s">
        <v>237</v>
      </c>
      <c r="P66" s="8" t="s">
        <v>35</v>
      </c>
      <c r="Q66" s="9"/>
    </row>
    <row r="67" customFormat="false" ht="29.25" hidden="false" customHeight="true" outlineLevel="0" collapsed="false">
      <c r="A67" s="9" t="s">
        <v>468</v>
      </c>
      <c r="B67" s="9" t="n">
        <v>70461</v>
      </c>
      <c r="C67" s="8" t="s">
        <v>469</v>
      </c>
      <c r="D67" s="8" t="s">
        <v>328</v>
      </c>
      <c r="E67" s="8" t="s">
        <v>329</v>
      </c>
      <c r="F67" s="17" t="n">
        <v>57</v>
      </c>
      <c r="G67" s="9"/>
      <c r="H67" s="9"/>
      <c r="I67" s="18" t="n">
        <v>37.2455249956782</v>
      </c>
      <c r="J67" s="18" t="n">
        <v>127.0418</v>
      </c>
      <c r="K67" s="8" t="s">
        <v>330</v>
      </c>
      <c r="L67" s="8" t="s">
        <v>331</v>
      </c>
      <c r="M67" s="14"/>
      <c r="N67" s="14"/>
      <c r="O67" s="9" t="s">
        <v>237</v>
      </c>
      <c r="P67" s="8" t="s">
        <v>37</v>
      </c>
      <c r="Q67" s="8" t="s">
        <v>463</v>
      </c>
    </row>
    <row r="68" customFormat="false" ht="15" hidden="false" customHeight="true" outlineLevel="0" collapsed="false">
      <c r="A68" s="9" t="s">
        <v>470</v>
      </c>
      <c r="B68" s="9" t="n">
        <v>70481</v>
      </c>
      <c r="C68" s="8" t="s">
        <v>471</v>
      </c>
      <c r="D68" s="8" t="s">
        <v>413</v>
      </c>
      <c r="E68" s="8" t="s">
        <v>329</v>
      </c>
      <c r="F68" s="17" t="n">
        <v>151</v>
      </c>
      <c r="G68" s="9"/>
      <c r="H68" s="9"/>
      <c r="I68" s="18" t="n">
        <v>37.2637690026271</v>
      </c>
      <c r="J68" s="18" t="n">
        <v>127.027704731525</v>
      </c>
      <c r="K68" s="8" t="s">
        <v>337</v>
      </c>
      <c r="L68" s="8" t="s">
        <v>331</v>
      </c>
      <c r="M68" s="14"/>
      <c r="N68" s="14"/>
      <c r="O68" s="9" t="s">
        <v>237</v>
      </c>
      <c r="P68" s="8" t="s">
        <v>35</v>
      </c>
      <c r="Q68" s="8" t="s">
        <v>472</v>
      </c>
    </row>
    <row r="69" customFormat="false" ht="15" hidden="false" customHeight="true" outlineLevel="0" collapsed="false">
      <c r="A69" s="9" t="s">
        <v>473</v>
      </c>
      <c r="B69" s="9" t="n">
        <v>70526</v>
      </c>
      <c r="C69" s="8" t="s">
        <v>474</v>
      </c>
      <c r="D69" s="8" t="s">
        <v>413</v>
      </c>
      <c r="E69" s="8" t="s">
        <v>329</v>
      </c>
      <c r="F69" s="17" t="n">
        <v>90</v>
      </c>
      <c r="G69" s="9"/>
      <c r="H69" s="9"/>
      <c r="I69" s="18" t="n">
        <v>37.2696493913727</v>
      </c>
      <c r="J69" s="18" t="n">
        <v>127.025660578793</v>
      </c>
      <c r="K69" s="8" t="s">
        <v>337</v>
      </c>
      <c r="L69" s="8" t="s">
        <v>331</v>
      </c>
      <c r="M69" s="14"/>
      <c r="N69" s="14"/>
      <c r="O69" s="9" t="s">
        <v>237</v>
      </c>
      <c r="P69" s="8" t="s">
        <v>35</v>
      </c>
      <c r="Q69" s="8" t="s">
        <v>472</v>
      </c>
    </row>
    <row r="70" customFormat="false" ht="15" hidden="false" customHeight="true" outlineLevel="0" collapsed="false">
      <c r="A70" s="9" t="s">
        <v>475</v>
      </c>
      <c r="B70" s="9" t="n">
        <v>70545</v>
      </c>
      <c r="C70" s="8" t="s">
        <v>476</v>
      </c>
      <c r="D70" s="8" t="s">
        <v>413</v>
      </c>
      <c r="E70" s="8" t="s">
        <v>329</v>
      </c>
      <c r="F70" s="17" t="n">
        <v>100</v>
      </c>
      <c r="G70" s="9"/>
      <c r="H70" s="9"/>
      <c r="I70" s="18" t="n">
        <v>37.2744000714624</v>
      </c>
      <c r="J70" s="18" t="n">
        <v>126.981293633867</v>
      </c>
      <c r="K70" s="8" t="s">
        <v>337</v>
      </c>
      <c r="L70" s="8" t="s">
        <v>331</v>
      </c>
      <c r="M70" s="14"/>
      <c r="N70" s="14"/>
      <c r="O70" s="9" t="s">
        <v>237</v>
      </c>
      <c r="P70" s="8" t="s">
        <v>35</v>
      </c>
      <c r="Q70" s="8" t="s">
        <v>472</v>
      </c>
    </row>
    <row r="72" customFormat="false" ht="15" hidden="false" customHeight="true" outlineLevel="0" collapsed="false">
      <c r="A72" s="3" t="s">
        <v>477</v>
      </c>
    </row>
    <row r="73" customFormat="false" ht="15" hidden="false" customHeight="true" outlineLevel="0" collapsed="false">
      <c r="A73" s="3" t="s">
        <v>478</v>
      </c>
    </row>
    <row r="74" customFormat="false" ht="15" hidden="false" customHeight="true" outlineLevel="0" collapsed="false">
      <c r="A74" s="19" t="s">
        <v>479</v>
      </c>
    </row>
  </sheetData>
  <autoFilter ref="A1:Q70"/>
  <conditionalFormatting sqref="P2:P70">
    <cfRule type="expression" priority="2" aboveAverage="0" equalAverage="0" bottom="0" percent="0" rank="0" text="" dxfId="7">
      <formula>P2="확인완료"</formula>
    </cfRule>
    <cfRule type="expression" priority="3" aboveAverage="0" equalAverage="0" bottom="0" percent="0" rank="0" text="" dxfId="8">
      <formula>P2="홈페이지 확인"</formula>
    </cfRule>
    <cfRule type="expression" priority="4" aboveAverage="0" equalAverage="0" bottom="0" percent="0" rank="0" text="" dxfId="9">
      <formula>P2="확인 필요"</formula>
    </cfRule>
    <cfRule type="expression" priority="5" aboveAverage="0" equalAverage="0" bottom="0" percent="0" rank="0" text="" dxfId="10">
      <formula>P2="출처 미확인"</formula>
    </cfRule>
    <cfRule type="expression" priority="6" aboveAverage="0" equalAverage="0" bottom="0" percent="0" rank="0" text="" dxfId="11">
      <formula>P2="미입력"</formula>
    </cfRule>
  </conditionalFormatting>
  <dataValidations count="2">
    <dataValidation allowBlank="true" errorStyle="stop" operator="between" showDropDown="false" showErrorMessage="false" showInputMessage="false" sqref="P2:P120" type="list">
      <formula1>분류코드!$F$2:$F$20</formula1>
      <formula2>0</formula2>
    </dataValidation>
    <dataValidation allowBlank="true" errorStyle="stop" operator="between" showDropDown="false" showErrorMessage="false" showInputMessage="false" sqref="N2:N120" type="list">
      <formula1>분류코드!$D$2:$D$20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2"/>
  </cols>
  <sheetData>
    <row r="1" customFormat="false" ht="19.5" hidden="false" customHeight="true" outlineLevel="0" collapsed="false">
      <c r="A1" s="20" t="s">
        <v>480</v>
      </c>
    </row>
    <row r="2" customFormat="false" ht="15" hidden="false" customHeight="true" outlineLevel="0" collapsed="false">
      <c r="A2" s="3" t="s">
        <v>481</v>
      </c>
    </row>
    <row r="4" customFormat="false" ht="15" hidden="false" customHeight="true" outlineLevel="0" collapsed="false">
      <c r="A4" s="21" t="s">
        <v>3</v>
      </c>
      <c r="B4" s="21" t="s">
        <v>482</v>
      </c>
      <c r="C4" s="21" t="s">
        <v>483</v>
      </c>
    </row>
    <row r="5" customFormat="false" ht="15" hidden="false" customHeight="true" outlineLevel="0" collapsed="false">
      <c r="A5" s="22" t="s">
        <v>484</v>
      </c>
      <c r="B5" s="22" t="n">
        <f aca="false">COUNTA(사업장목록!$A$2:$A$151)</f>
        <v>18</v>
      </c>
    </row>
    <row r="7" customFormat="false" ht="15" hidden="false" customHeight="true" outlineLevel="0" collapsed="false">
      <c r="A7" s="21" t="s">
        <v>71</v>
      </c>
      <c r="B7" s="21" t="s">
        <v>482</v>
      </c>
      <c r="C7" s="21" t="s">
        <v>483</v>
      </c>
    </row>
    <row r="8" customFormat="false" ht="15" hidden="false" customHeight="true" outlineLevel="0" collapsed="false">
      <c r="A8" s="23" t="s">
        <v>33</v>
      </c>
      <c r="B8" s="23" t="n">
        <f aca="false">COUNTIF(사업장목록!$X$2:$X$151,"확인완료")</f>
        <v>6</v>
      </c>
      <c r="C8" s="24" t="n">
        <f aca="false">IF($B$5=0,0,B8/$B$5)</f>
        <v>0.333333333333333</v>
      </c>
    </row>
    <row r="9" customFormat="false" ht="15" hidden="false" customHeight="true" outlineLevel="0" collapsed="false">
      <c r="A9" s="23" t="s">
        <v>35</v>
      </c>
      <c r="B9" s="23" t="n">
        <f aca="false">COUNTIF(사업장목록!$X$2:$X$151,"홈페이지 확인")</f>
        <v>12</v>
      </c>
      <c r="C9" s="24" t="n">
        <f aca="false">IF($B$5=0,0,B9/$B$5)</f>
        <v>0.666666666666667</v>
      </c>
    </row>
    <row r="10" customFormat="false" ht="15" hidden="false" customHeight="true" outlineLevel="0" collapsed="false">
      <c r="A10" s="23" t="s">
        <v>37</v>
      </c>
      <c r="B10" s="23" t="n">
        <f aca="false">COUNTIF(사업장목록!$X$2:$X$151,"확인 필요")</f>
        <v>0</v>
      </c>
      <c r="C10" s="24" t="n">
        <f aca="false">IF($B$5=0,0,B10/$B$5)</f>
        <v>0</v>
      </c>
    </row>
    <row r="11" customFormat="false" ht="15" hidden="false" customHeight="true" outlineLevel="0" collapsed="false">
      <c r="A11" s="23" t="s">
        <v>39</v>
      </c>
      <c r="B11" s="23" t="n">
        <f aca="false">COUNTIF(사업장목록!$X$2:$X$151,"출처 미확인")</f>
        <v>0</v>
      </c>
      <c r="C11" s="24" t="n">
        <f aca="false">IF($B$5=0,0,B11/$B$5)</f>
        <v>0</v>
      </c>
    </row>
    <row r="12" customFormat="false" ht="15" hidden="false" customHeight="true" outlineLevel="0" collapsed="false">
      <c r="A12" s="23" t="s">
        <v>41</v>
      </c>
      <c r="B12" s="23" t="n">
        <f aca="false">COUNTIF(사업장목록!$X$2:$X$151,"미입력")</f>
        <v>0</v>
      </c>
      <c r="C12" s="24" t="n">
        <f aca="false">IF($B$5=0,0,B12/$B$5)</f>
        <v>0</v>
      </c>
    </row>
    <row r="14" customFormat="false" ht="15" hidden="false" customHeight="true" outlineLevel="0" collapsed="false">
      <c r="A14" s="21" t="s">
        <v>52</v>
      </c>
      <c r="B14" s="21" t="s">
        <v>482</v>
      </c>
      <c r="C14" s="21" t="s">
        <v>483</v>
      </c>
    </row>
    <row r="15" customFormat="false" ht="15" hidden="false" customHeight="true" outlineLevel="0" collapsed="false">
      <c r="A15" s="23" t="s">
        <v>77</v>
      </c>
      <c r="B15" s="23" t="n">
        <f aca="false">COUNTIF(사업장목록!$C$2:$C$151,"문화·체육")</f>
        <v>7</v>
      </c>
      <c r="C15" s="24" t="n">
        <f aca="false">IF($B$5=0,0,B15/$B$5)</f>
        <v>0.388888888888889</v>
      </c>
    </row>
    <row r="16" customFormat="false" ht="15" hidden="false" customHeight="true" outlineLevel="0" collapsed="false">
      <c r="A16" s="23" t="s">
        <v>185</v>
      </c>
      <c r="B16" s="23" t="n">
        <f aca="false">COUNTIF(사업장목록!$C$2:$C$151,"생활·복지")</f>
        <v>4</v>
      </c>
      <c r="C16" s="24" t="n">
        <f aca="false">IF($B$5=0,0,B16/$B$5)</f>
        <v>0.222222222222222</v>
      </c>
    </row>
    <row r="17" customFormat="false" ht="15" hidden="false" customHeight="true" outlineLevel="0" collapsed="false">
      <c r="A17" s="23" t="s">
        <v>240</v>
      </c>
      <c r="B17" s="23" t="n">
        <f aca="false">COUNTIF(사업장목록!$C$2:$C$151,"주차·교통")</f>
        <v>5</v>
      </c>
      <c r="C17" s="24" t="n">
        <f aca="false">IF($B$5=0,0,B17/$B$5)</f>
        <v>0.277777777777778</v>
      </c>
    </row>
    <row r="18" customFormat="false" ht="15" hidden="false" customHeight="true" outlineLevel="0" collapsed="false">
      <c r="A18" s="23" t="s">
        <v>309</v>
      </c>
      <c r="B18" s="23" t="n">
        <f aca="false">COUNTIF(사업장목록!$C$2:$C$151,"개발사업")</f>
        <v>1</v>
      </c>
      <c r="C18" s="24" t="n">
        <f aca="false">IF($B$5=0,0,B18/$B$5)</f>
        <v>0.0555555555555556</v>
      </c>
    </row>
    <row r="19" customFormat="false" ht="15" hidden="false" customHeight="true" outlineLevel="0" collapsed="false">
      <c r="A19" s="23" t="s">
        <v>295</v>
      </c>
      <c r="B19" s="23" t="n">
        <f aca="false">COUNTIF(사업장목록!$C$2:$C$151,"공사 본사")</f>
        <v>1</v>
      </c>
      <c r="C19" s="24" t="n">
        <f aca="false">IF($B$5=0,0,B19/$B$5)</f>
        <v>0.0555555555555556</v>
      </c>
    </row>
    <row r="21" customFormat="false" ht="15" hidden="false" customHeight="true" outlineLevel="0" collapsed="false">
      <c r="A21" s="21" t="s">
        <v>53</v>
      </c>
      <c r="B21" s="21" t="s">
        <v>482</v>
      </c>
      <c r="C21" s="21" t="s">
        <v>483</v>
      </c>
    </row>
    <row r="22" customFormat="false" ht="15" hidden="false" customHeight="true" outlineLevel="0" collapsed="false">
      <c r="A22" s="23" t="s">
        <v>78</v>
      </c>
      <c r="B22" s="23" t="n">
        <f aca="false">COUNTIF(사업장목록!$D$2:$D$151,"운동·배우기")</f>
        <v>6</v>
      </c>
      <c r="C22" s="24" t="n">
        <f aca="false">IF($B$5=0,0,B22/$B$5)</f>
        <v>0.333333333333333</v>
      </c>
    </row>
    <row r="23" customFormat="false" ht="15" hidden="false" customHeight="true" outlineLevel="0" collapsed="false">
      <c r="A23" s="23" t="s">
        <v>158</v>
      </c>
      <c r="B23" s="23" t="n">
        <f aca="false">COUNTIF(사업장목록!$D$2:$D$151,"캠핑·여가")</f>
        <v>1</v>
      </c>
      <c r="C23" s="24" t="n">
        <f aca="false">IF($B$5=0,0,B23/$B$5)</f>
        <v>0.0555555555555556</v>
      </c>
    </row>
    <row r="24" customFormat="false" ht="15" hidden="false" customHeight="true" outlineLevel="0" collapsed="false">
      <c r="A24" s="23" t="s">
        <v>186</v>
      </c>
      <c r="B24" s="23" t="n">
        <f aca="false">COUNTIF(사업장목록!$D$2:$D$151,"장례·추모")</f>
        <v>1</v>
      </c>
      <c r="C24" s="24" t="n">
        <f aca="false">IF($B$5=0,0,B24/$B$5)</f>
        <v>0.0555555555555556</v>
      </c>
    </row>
    <row r="25" customFormat="false" ht="15" hidden="false" customHeight="true" outlineLevel="0" collapsed="false">
      <c r="A25" s="23" t="s">
        <v>200</v>
      </c>
      <c r="B25" s="23" t="n">
        <f aca="false">COUNTIF(사업장목록!$D$2:$D$151,"돌봄·복지")</f>
        <v>1</v>
      </c>
      <c r="C25" s="24" t="n">
        <f aca="false">IF($B$5=0,0,B25/$B$5)</f>
        <v>0.0555555555555556</v>
      </c>
    </row>
    <row r="26" customFormat="false" ht="15" hidden="false" customHeight="true" outlineLevel="0" collapsed="false">
      <c r="A26" s="23" t="s">
        <v>213</v>
      </c>
      <c r="B26" s="23" t="n">
        <f aca="false">COUNTIF(사업장목록!$D$2:$D$151,"이동 지원")</f>
        <v>1</v>
      </c>
      <c r="C26" s="24" t="n">
        <f aca="false">IF($B$5=0,0,B26/$B$5)</f>
        <v>0.0555555555555556</v>
      </c>
    </row>
    <row r="27" customFormat="false" ht="15" hidden="false" customHeight="true" outlineLevel="0" collapsed="false">
      <c r="A27" s="23" t="s">
        <v>228</v>
      </c>
      <c r="B27" s="23" t="n">
        <f aca="false">COUNTIF(사업장목록!$D$2:$D$151,"환경·자원순환")</f>
        <v>1</v>
      </c>
      <c r="C27" s="24" t="n">
        <f aca="false">IF($B$5=0,0,B27/$B$5)</f>
        <v>0.0555555555555556</v>
      </c>
    </row>
    <row r="28" customFormat="false" ht="15" hidden="false" customHeight="true" outlineLevel="0" collapsed="false">
      <c r="A28" s="23" t="s">
        <v>241</v>
      </c>
      <c r="B28" s="23" t="n">
        <f aca="false">COUNTIF(사업장목록!$D$2:$D$151,"주차하기")</f>
        <v>2</v>
      </c>
      <c r="C28" s="24" t="n">
        <f aca="false">IF($B$5=0,0,B28/$B$5)</f>
        <v>0.111111111111111</v>
      </c>
    </row>
    <row r="29" customFormat="false" ht="15" hidden="false" customHeight="true" outlineLevel="0" collapsed="false">
      <c r="A29" s="23" t="s">
        <v>265</v>
      </c>
      <c r="B29" s="23" t="n">
        <f aca="false">COUNTIF(사업장목록!$D$2:$D$151,"교통·차량 서비스")</f>
        <v>3</v>
      </c>
      <c r="C29" s="24" t="n">
        <f aca="false">IF($B$5=0,0,B29/$B$5)</f>
        <v>0.166666666666667</v>
      </c>
    </row>
    <row r="30" customFormat="false" ht="15" hidden="false" customHeight="true" outlineLevel="0" collapsed="false">
      <c r="A30" s="23" t="s">
        <v>296</v>
      </c>
      <c r="B30" s="23" t="n">
        <f aca="false">COUNTIF(사업장목록!$D$2:$D$151,"공사 본사·개발사업")</f>
        <v>2</v>
      </c>
      <c r="C30" s="24" t="n">
        <f aca="false">IF($B$5=0,0,B30/$B$5)</f>
        <v>0.111111111111111</v>
      </c>
    </row>
    <row r="32" customFormat="false" ht="15" hidden="false" customHeight="true" outlineLevel="0" collapsed="false">
      <c r="A32" s="21" t="s">
        <v>24</v>
      </c>
      <c r="B32" s="21" t="s">
        <v>482</v>
      </c>
      <c r="C32" s="21" t="s">
        <v>483</v>
      </c>
    </row>
    <row r="33" customFormat="false" ht="15" hidden="false" customHeight="true" outlineLevel="0" collapsed="false">
      <c r="A33" s="23" t="s">
        <v>80</v>
      </c>
      <c r="B33" s="23" t="n">
        <f aca="false">COUNTIF(사업장목록!$F$2:$F$151,"시설 마커")</f>
        <v>14</v>
      </c>
      <c r="C33" s="24" t="n">
        <f aca="false">IF($B$5=0,0,B33/$B$5)</f>
        <v>0.777777777777778</v>
      </c>
    </row>
    <row r="34" customFormat="false" ht="15" hidden="false" customHeight="true" outlineLevel="0" collapsed="false">
      <c r="A34" s="23" t="s">
        <v>243</v>
      </c>
      <c r="B34" s="23" t="n">
        <f aca="false">COUNTIF(사업장목록!$F$2:$F$151,"레이어")</f>
        <v>1</v>
      </c>
      <c r="C34" s="24" t="n">
        <f aca="false">IF($B$5=0,0,B34/$B$5)</f>
        <v>0.0555555555555556</v>
      </c>
    </row>
    <row r="35" customFormat="false" ht="15" hidden="false" customHeight="true" outlineLevel="0" collapsed="false">
      <c r="A35" s="23" t="s">
        <v>215</v>
      </c>
      <c r="B35" s="23" t="n">
        <f aca="false">COUNTIF(사업장목록!$F$2:$F$151,"서비스 안내")</f>
        <v>3</v>
      </c>
      <c r="C35" s="24" t="n">
        <f aca="false">IF($B$5=0,0,B35/$B$5)</f>
        <v>0.166666666666667</v>
      </c>
    </row>
    <row r="37" customFormat="false" ht="15" hidden="false" customHeight="true" outlineLevel="0" collapsed="false">
      <c r="A37" s="21" t="s">
        <v>5</v>
      </c>
      <c r="B37" s="21" t="s">
        <v>485</v>
      </c>
      <c r="C37" s="21" t="s">
        <v>486</v>
      </c>
    </row>
    <row r="38" customFormat="false" ht="15" hidden="false" customHeight="true" outlineLevel="0" collapsed="false">
      <c r="A38" s="22" t="s">
        <v>487</v>
      </c>
      <c r="B38" s="22" t="n">
        <f aca="false">COUNTA(공영주차장!$A$2:$A$70)</f>
        <v>69</v>
      </c>
      <c r="C38" s="25" t="n">
        <f aca="false">SUM(공영주차장!$F$2:$F$70)</f>
        <v>10555</v>
      </c>
    </row>
    <row r="39" customFormat="false" ht="15" hidden="false" customHeight="true" outlineLevel="0" collapsed="false">
      <c r="A39" s="23" t="s">
        <v>328</v>
      </c>
      <c r="B39" s="23" t="n">
        <f aca="false">COUNTIF(공영주차장!$D$2:$D$70,"공영")</f>
        <v>50</v>
      </c>
      <c r="C39" s="26" t="n">
        <f aca="false">SUMIF(공영주차장!$D$2:$D$70,"공영",공영주차장!$F$2:$F$70)</f>
        <v>6590</v>
      </c>
    </row>
    <row r="40" customFormat="false" ht="15" hidden="false" customHeight="true" outlineLevel="0" collapsed="false">
      <c r="A40" s="23" t="s">
        <v>413</v>
      </c>
      <c r="B40" s="23" t="n">
        <f aca="false">COUNTIF(공영주차장!$D$2:$D$70,"부설")</f>
        <v>12</v>
      </c>
      <c r="C40" s="26" t="n">
        <f aca="false">SUMIF(공영주차장!$D$2:$D$70,"부설",공영주차장!$F$2:$F$70)</f>
        <v>2211</v>
      </c>
    </row>
    <row r="41" customFormat="false" ht="15" hidden="false" customHeight="true" outlineLevel="0" collapsed="false">
      <c r="A41" s="23" t="s">
        <v>348</v>
      </c>
      <c r="B41" s="23" t="n">
        <f aca="false">COUNTIF(공영주차장!$D$2:$D$70,"현장운영")</f>
        <v>7</v>
      </c>
      <c r="C41" s="26" t="n">
        <f aca="false">SUMIF(공영주차장!$D$2:$D$70,"현장운영",공영주차장!$F$2:$F$70)</f>
        <v>1754</v>
      </c>
    </row>
    <row r="43" customFormat="false" ht="15" hidden="false" customHeight="true" outlineLevel="0" collapsed="false">
      <c r="A43" s="21" t="s">
        <v>488</v>
      </c>
      <c r="B43" s="21" t="s">
        <v>485</v>
      </c>
      <c r="C43" s="21" t="s">
        <v>483</v>
      </c>
    </row>
    <row r="44" customFormat="false" ht="15" hidden="false" customHeight="true" outlineLevel="0" collapsed="false">
      <c r="A44" s="23" t="s">
        <v>35</v>
      </c>
      <c r="B44" s="23" t="n">
        <f aca="false">COUNTIF(공영주차장!$P$2:$P$70,"홈페이지 확인")</f>
        <v>51</v>
      </c>
      <c r="C44" s="24" t="n">
        <f aca="false">IF($B$38=0,0,B44/$B$38)</f>
        <v>0.739130434782609</v>
      </c>
    </row>
    <row r="45" customFormat="false" ht="15" hidden="false" customHeight="true" outlineLevel="0" collapsed="false">
      <c r="A45" s="23" t="s">
        <v>37</v>
      </c>
      <c r="B45" s="23" t="n">
        <f aca="false">COUNTIF(공영주차장!$P$2:$P$70,"확인 필요")</f>
        <v>18</v>
      </c>
      <c r="C45" s="24" t="n">
        <f aca="false">IF($B$38=0,0,B45/$B$38)</f>
        <v>0.260869565217391</v>
      </c>
    </row>
    <row r="46" customFormat="false" ht="15" hidden="false" customHeight="true" outlineLevel="0" collapsed="false">
      <c r="A46" s="23" t="s">
        <v>33</v>
      </c>
      <c r="B46" s="23" t="n">
        <f aca="false">COUNTIF(공영주차장!$P$2:$P$70,"확인완료")</f>
        <v>0</v>
      </c>
      <c r="C46" s="24" t="n">
        <f aca="false">IF($B$38=0,0,B46/$B$38)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15" hidden="false" customHeight="true" outlineLevel="0" collapsed="false">
      <c r="A1" s="21" t="s">
        <v>52</v>
      </c>
      <c r="B1" s="21" t="s">
        <v>53</v>
      </c>
      <c r="C1" s="21" t="s">
        <v>24</v>
      </c>
      <c r="D1" s="21" t="s">
        <v>55</v>
      </c>
      <c r="E1" s="21" t="s">
        <v>26</v>
      </c>
      <c r="F1" s="21" t="s">
        <v>71</v>
      </c>
      <c r="G1" s="21" t="s">
        <v>68</v>
      </c>
    </row>
    <row r="2" customFormat="false" ht="15" hidden="false" customHeight="true" outlineLevel="0" collapsed="false">
      <c r="A2" s="27" t="s">
        <v>77</v>
      </c>
      <c r="B2" s="27" t="s">
        <v>78</v>
      </c>
      <c r="C2" s="27" t="s">
        <v>80</v>
      </c>
      <c r="D2" s="27" t="s">
        <v>81</v>
      </c>
      <c r="E2" s="28" t="s">
        <v>92</v>
      </c>
      <c r="F2" s="27" t="s">
        <v>33</v>
      </c>
      <c r="G2" s="27" t="s">
        <v>489</v>
      </c>
    </row>
    <row r="3" customFormat="false" ht="15" hidden="false" customHeight="true" outlineLevel="0" collapsed="false">
      <c r="A3" s="27" t="s">
        <v>185</v>
      </c>
      <c r="B3" s="27" t="s">
        <v>158</v>
      </c>
      <c r="C3" s="27" t="s">
        <v>243</v>
      </c>
      <c r="D3" s="27" t="s">
        <v>114</v>
      </c>
      <c r="E3" s="28" t="s">
        <v>237</v>
      </c>
      <c r="F3" s="27" t="s">
        <v>35</v>
      </c>
      <c r="G3" s="27" t="s">
        <v>490</v>
      </c>
    </row>
    <row r="4" customFormat="false" ht="15" hidden="false" customHeight="true" outlineLevel="0" collapsed="false">
      <c r="A4" s="27" t="s">
        <v>240</v>
      </c>
      <c r="B4" s="27" t="s">
        <v>186</v>
      </c>
      <c r="C4" s="27" t="s">
        <v>215</v>
      </c>
      <c r="D4" s="27" t="s">
        <v>173</v>
      </c>
      <c r="E4" s="28" t="s">
        <v>224</v>
      </c>
      <c r="F4" s="27" t="s">
        <v>37</v>
      </c>
      <c r="G4" s="27" t="s">
        <v>491</v>
      </c>
    </row>
    <row r="5" customFormat="false" ht="15" hidden="false" customHeight="true" outlineLevel="0" collapsed="false">
      <c r="A5" s="27" t="s">
        <v>309</v>
      </c>
      <c r="B5" s="27" t="s">
        <v>200</v>
      </c>
      <c r="D5" s="27" t="s">
        <v>129</v>
      </c>
      <c r="F5" s="27" t="s">
        <v>39</v>
      </c>
    </row>
    <row r="6" customFormat="false" ht="15" hidden="false" customHeight="true" outlineLevel="0" collapsed="false">
      <c r="A6" s="27" t="s">
        <v>295</v>
      </c>
      <c r="B6" s="27" t="s">
        <v>213</v>
      </c>
      <c r="D6" s="27" t="s">
        <v>244</v>
      </c>
      <c r="F6" s="27" t="s">
        <v>41</v>
      </c>
    </row>
    <row r="7" customFormat="false" ht="15" hidden="false" customHeight="true" outlineLevel="0" collapsed="false">
      <c r="B7" s="27" t="s">
        <v>228</v>
      </c>
      <c r="D7" s="27" t="s">
        <v>143</v>
      </c>
    </row>
    <row r="8" customFormat="false" ht="15" hidden="false" customHeight="true" outlineLevel="0" collapsed="false">
      <c r="B8" s="27" t="s">
        <v>241</v>
      </c>
      <c r="D8" s="27" t="s">
        <v>37</v>
      </c>
    </row>
    <row r="9" customFormat="false" ht="15" hidden="false" customHeight="true" outlineLevel="0" collapsed="false">
      <c r="B9" s="27" t="s">
        <v>265</v>
      </c>
    </row>
    <row r="10" customFormat="false" ht="15" hidden="false" customHeight="true" outlineLevel="0" collapsed="false">
      <c r="B10" s="27" t="s">
        <v>296</v>
      </c>
    </row>
    <row r="22" customFormat="false" ht="15" hidden="false" customHeight="true" outlineLevel="0" collapsed="false">
      <c r="A22" s="3" t="s">
        <v>492</v>
      </c>
    </row>
    <row r="23" customFormat="false" ht="15" hidden="false" customHeight="true" outlineLevel="0" collapsed="false">
      <c r="A23" s="3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48"/>
    <col collapsed="false" customWidth="true" hidden="false" outlineLevel="0" max="5" min="5" style="1" width="34"/>
  </cols>
  <sheetData>
    <row r="1" customFormat="false" ht="24" hidden="false" customHeight="true" outlineLevel="0" collapsed="false">
      <c r="A1" s="10" t="s">
        <v>317</v>
      </c>
      <c r="B1" s="10" t="s">
        <v>494</v>
      </c>
      <c r="C1" s="29" t="s">
        <v>495</v>
      </c>
      <c r="D1" s="29" t="s">
        <v>496</v>
      </c>
      <c r="E1" s="10" t="s">
        <v>497</v>
      </c>
    </row>
    <row r="2" customFormat="false" ht="29.25" hidden="false" customHeight="true" outlineLevel="0" collapsed="false">
      <c r="A2" s="8" t="s">
        <v>498</v>
      </c>
      <c r="B2" s="8" t="s">
        <v>487</v>
      </c>
      <c r="C2" s="8" t="s">
        <v>499</v>
      </c>
      <c r="D2" s="8" t="s">
        <v>500</v>
      </c>
      <c r="E2" s="8" t="s">
        <v>501</v>
      </c>
    </row>
    <row r="3" customFormat="false" ht="15" hidden="false" customHeight="true" outlineLevel="0" collapsed="false">
      <c r="A3" s="8" t="s">
        <v>502</v>
      </c>
      <c r="B3" s="8" t="s">
        <v>157</v>
      </c>
      <c r="C3" s="8" t="s">
        <v>503</v>
      </c>
      <c r="D3" s="8" t="s">
        <v>504</v>
      </c>
      <c r="E3" s="8" t="s">
        <v>501</v>
      </c>
    </row>
    <row r="4" customFormat="false" ht="15" hidden="false" customHeight="true" outlineLevel="0" collapsed="false">
      <c r="A4" s="8" t="s">
        <v>502</v>
      </c>
      <c r="B4" s="8" t="s">
        <v>199</v>
      </c>
      <c r="C4" s="8" t="s">
        <v>503</v>
      </c>
      <c r="D4" s="8" t="s">
        <v>505</v>
      </c>
      <c r="E4" s="8" t="s">
        <v>501</v>
      </c>
    </row>
    <row r="5" customFormat="false" ht="29.25" hidden="false" customHeight="true" outlineLevel="0" collapsed="false">
      <c r="A5" s="8" t="s">
        <v>502</v>
      </c>
      <c r="B5" s="8" t="s">
        <v>506</v>
      </c>
      <c r="C5" s="8" t="s">
        <v>503</v>
      </c>
      <c r="D5" s="8" t="s">
        <v>507</v>
      </c>
      <c r="E5" s="8" t="s">
        <v>501</v>
      </c>
    </row>
    <row r="6" customFormat="false" ht="15" hidden="false" customHeight="true" outlineLevel="0" collapsed="false">
      <c r="A6" s="8" t="s">
        <v>502</v>
      </c>
      <c r="B6" s="8" t="s">
        <v>508</v>
      </c>
      <c r="C6" s="8" t="s">
        <v>503</v>
      </c>
      <c r="D6" s="8" t="s">
        <v>509</v>
      </c>
      <c r="E6" s="8" t="s">
        <v>510</v>
      </c>
    </row>
    <row r="7" customFormat="false" ht="15" hidden="false" customHeight="true" outlineLevel="0" collapsed="false">
      <c r="A7" s="8" t="s">
        <v>511</v>
      </c>
      <c r="B7" s="8" t="s">
        <v>512</v>
      </c>
      <c r="C7" s="8" t="s">
        <v>513</v>
      </c>
      <c r="D7" s="8" t="s">
        <v>514</v>
      </c>
      <c r="E7" s="8" t="s">
        <v>515</v>
      </c>
    </row>
    <row r="8" customFormat="false" ht="15" hidden="false" customHeight="true" outlineLevel="0" collapsed="false">
      <c r="A8" s="8" t="s">
        <v>516</v>
      </c>
      <c r="B8" s="8" t="s">
        <v>5</v>
      </c>
      <c r="C8" s="9" t="s">
        <v>517</v>
      </c>
      <c r="D8" s="8" t="s">
        <v>518</v>
      </c>
      <c r="E8" s="8" t="s">
        <v>519</v>
      </c>
    </row>
    <row r="9" customFormat="false" ht="15" hidden="false" customHeight="true" outlineLevel="0" collapsed="false">
      <c r="A9" s="8" t="s">
        <v>520</v>
      </c>
      <c r="B9" s="8" t="s">
        <v>521</v>
      </c>
      <c r="C9" s="9" t="s">
        <v>522</v>
      </c>
      <c r="D9" s="8" t="s">
        <v>523</v>
      </c>
      <c r="E9" s="8" t="s">
        <v>519</v>
      </c>
    </row>
    <row r="10" customFormat="false" ht="15" hidden="false" customHeight="true" outlineLevel="0" collapsed="false">
      <c r="A10" s="8" t="s">
        <v>511</v>
      </c>
      <c r="B10" s="8" t="s">
        <v>524</v>
      </c>
      <c r="C10" s="8" t="s">
        <v>525</v>
      </c>
      <c r="D10" s="8" t="s">
        <v>526</v>
      </c>
      <c r="E10" s="8" t="s">
        <v>519</v>
      </c>
    </row>
    <row r="11" customFormat="false" ht="15" hidden="false" customHeight="true" outlineLevel="0" collapsed="false">
      <c r="A11" s="8" t="s">
        <v>527</v>
      </c>
      <c r="B11" s="8" t="s">
        <v>528</v>
      </c>
      <c r="C11" s="8" t="s">
        <v>529</v>
      </c>
      <c r="D11" s="8" t="s">
        <v>530</v>
      </c>
      <c r="E11" s="8" t="s">
        <v>531</v>
      </c>
    </row>
    <row r="12" customFormat="false" ht="29.25" hidden="false" customHeight="true" outlineLevel="0" collapsed="false">
      <c r="A12" s="8" t="s">
        <v>527</v>
      </c>
      <c r="B12" s="8" t="s">
        <v>532</v>
      </c>
      <c r="C12" s="8" t="s">
        <v>533</v>
      </c>
      <c r="D12" s="8" t="s">
        <v>534</v>
      </c>
      <c r="E12" s="8" t="s">
        <v>535</v>
      </c>
    </row>
    <row r="13" customFormat="false" ht="15" hidden="false" customHeight="true" outlineLevel="0" collapsed="false">
      <c r="A13" s="8" t="s">
        <v>527</v>
      </c>
      <c r="B13" s="8" t="s">
        <v>536</v>
      </c>
      <c r="C13" s="8" t="s">
        <v>537</v>
      </c>
      <c r="D13" s="8" t="s">
        <v>538</v>
      </c>
      <c r="E13" s="8" t="s">
        <v>539</v>
      </c>
    </row>
    <row r="14" customFormat="false" ht="15" hidden="false" customHeight="true" outlineLevel="0" collapsed="false">
      <c r="A14" s="8" t="s">
        <v>540</v>
      </c>
      <c r="B14" s="8" t="s">
        <v>541</v>
      </c>
      <c r="C14" s="8" t="s">
        <v>542</v>
      </c>
      <c r="D14" s="8" t="s">
        <v>543</v>
      </c>
      <c r="E14" s="8" t="s">
        <v>544</v>
      </c>
    </row>
    <row r="15" customFormat="false" ht="15" hidden="false" customHeight="true" outlineLevel="0" collapsed="false">
      <c r="A15" s="8" t="s">
        <v>540</v>
      </c>
      <c r="B15" s="8" t="s">
        <v>71</v>
      </c>
      <c r="C15" s="9" t="s">
        <v>545</v>
      </c>
      <c r="D15" s="9" t="s">
        <v>546</v>
      </c>
      <c r="E15" s="9" t="s">
        <v>547</v>
      </c>
    </row>
    <row r="16" customFormat="false" ht="29.25" hidden="false" customHeight="true" outlineLevel="0" collapsed="false">
      <c r="A16" s="8" t="s">
        <v>548</v>
      </c>
      <c r="B16" s="8" t="s">
        <v>549</v>
      </c>
      <c r="C16" s="8" t="s">
        <v>550</v>
      </c>
      <c r="D16" s="8" t="s">
        <v>551</v>
      </c>
      <c r="E16" s="8" t="s">
        <v>552</v>
      </c>
    </row>
    <row r="17" customFormat="false" ht="15" hidden="false" customHeight="true" outlineLevel="0" collapsed="false">
      <c r="A17" s="8" t="s">
        <v>548</v>
      </c>
      <c r="B17" s="8" t="s">
        <v>553</v>
      </c>
      <c r="C17" s="9" t="s">
        <v>554</v>
      </c>
      <c r="D17" s="8" t="s">
        <v>555</v>
      </c>
      <c r="E17" s="8" t="s">
        <v>552</v>
      </c>
    </row>
    <row r="18" customFormat="false" ht="15" hidden="false" customHeight="true" outlineLevel="0" collapsed="false">
      <c r="A18" s="8" t="s">
        <v>548</v>
      </c>
      <c r="B18" s="8" t="s">
        <v>264</v>
      </c>
      <c r="C18" s="8" t="s">
        <v>556</v>
      </c>
      <c r="D18" s="8" t="s">
        <v>557</v>
      </c>
      <c r="E18" s="8" t="s">
        <v>552</v>
      </c>
    </row>
    <row r="19" customFormat="false" ht="15" hidden="false" customHeight="true" outlineLevel="0" collapsed="false">
      <c r="A19" s="8" t="s">
        <v>548</v>
      </c>
      <c r="B19" s="8" t="s">
        <v>558</v>
      </c>
      <c r="C19" s="8" t="s">
        <v>559</v>
      </c>
      <c r="D19" s="8" t="s">
        <v>560</v>
      </c>
      <c r="E19" s="8" t="s">
        <v>552</v>
      </c>
    </row>
    <row r="20" customFormat="false" ht="15" hidden="false" customHeight="false" outlineLevel="0" collapsed="false">
      <c r="A20" s="8" t="s">
        <v>540</v>
      </c>
      <c r="B20" s="8" t="s">
        <v>561</v>
      </c>
      <c r="C20" s="8" t="s">
        <v>542</v>
      </c>
      <c r="D20" s="8" t="s">
        <v>562</v>
      </c>
      <c r="E20" s="8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80"/>
  </cols>
  <sheetData>
    <row r="1" customFormat="false" ht="24" hidden="false" customHeight="true" outlineLevel="0" collapsed="false">
      <c r="A1" s="10" t="s">
        <v>563</v>
      </c>
      <c r="B1" s="10" t="s">
        <v>564</v>
      </c>
      <c r="C1" s="10" t="s">
        <v>565</v>
      </c>
      <c r="D1" s="10" t="s">
        <v>566</v>
      </c>
    </row>
    <row r="2" customFormat="false" ht="36.75" hidden="false" customHeight="true" outlineLevel="0" collapsed="false">
      <c r="A2" s="8" t="s">
        <v>567</v>
      </c>
      <c r="B2" s="8" t="s">
        <v>329</v>
      </c>
      <c r="C2" s="9" t="s">
        <v>94</v>
      </c>
      <c r="D2" s="9" t="s">
        <v>568</v>
      </c>
    </row>
    <row r="3" customFormat="false" ht="29.25" hidden="false" customHeight="true" outlineLevel="0" collapsed="false">
      <c r="A3" s="8" t="s">
        <v>569</v>
      </c>
      <c r="B3" s="8" t="s">
        <v>329</v>
      </c>
      <c r="C3" s="9" t="s">
        <v>94</v>
      </c>
      <c r="D3" s="9" t="s">
        <v>303</v>
      </c>
    </row>
    <row r="4" customFormat="false" ht="27" hidden="false" customHeight="true" outlineLevel="0" collapsed="false">
      <c r="A4" s="8" t="s">
        <v>570</v>
      </c>
      <c r="B4" s="8" t="s">
        <v>329</v>
      </c>
      <c r="C4" s="9" t="s">
        <v>94</v>
      </c>
      <c r="D4" s="9" t="s">
        <v>303</v>
      </c>
    </row>
    <row r="5" customFormat="false" ht="24.75" hidden="false" customHeight="true" outlineLevel="0" collapsed="false">
      <c r="A5" s="8" t="s">
        <v>571</v>
      </c>
      <c r="B5" s="8" t="s">
        <v>572</v>
      </c>
      <c r="C5" s="9" t="s">
        <v>94</v>
      </c>
      <c r="D5" s="9" t="s">
        <v>271</v>
      </c>
    </row>
    <row r="6" customFormat="false" ht="29.25" hidden="false" customHeight="true" outlineLevel="0" collapsed="false">
      <c r="A6" s="8" t="s">
        <v>573</v>
      </c>
      <c r="B6" s="8" t="s">
        <v>329</v>
      </c>
      <c r="C6" s="9" t="s">
        <v>94</v>
      </c>
      <c r="D6" s="9" t="s">
        <v>251</v>
      </c>
    </row>
    <row r="7" customFormat="false" ht="15" hidden="false" customHeight="true" outlineLevel="0" collapsed="false">
      <c r="A7" s="8" t="s">
        <v>574</v>
      </c>
      <c r="B7" s="8" t="s">
        <v>575</v>
      </c>
      <c r="C7" s="9" t="s">
        <v>94</v>
      </c>
      <c r="D7" s="9" t="s">
        <v>576</v>
      </c>
    </row>
    <row r="8" customFormat="false" ht="24.75" hidden="false" customHeight="true" outlineLevel="0" collapsed="false">
      <c r="A8" s="8" t="s">
        <v>577</v>
      </c>
      <c r="B8" s="8" t="s">
        <v>578</v>
      </c>
      <c r="C8" s="9" t="s">
        <v>94</v>
      </c>
      <c r="D8" s="9" t="s">
        <v>579</v>
      </c>
    </row>
    <row r="9" customFormat="false" ht="24.75" hidden="false" customHeight="true" outlineLevel="0" collapsed="false">
      <c r="A9" s="8" t="s">
        <v>580</v>
      </c>
      <c r="B9" s="8" t="s">
        <v>578</v>
      </c>
      <c r="C9" s="9" t="s">
        <v>94</v>
      </c>
      <c r="D9" s="9" t="s">
        <v>581</v>
      </c>
    </row>
    <row r="10" customFormat="false" ht="15" hidden="false" customHeight="true" outlineLevel="0" collapsed="false">
      <c r="A10" s="8" t="s">
        <v>582</v>
      </c>
      <c r="B10" s="8" t="s">
        <v>583</v>
      </c>
      <c r="C10" s="9" t="s">
        <v>94</v>
      </c>
      <c r="D10" s="9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2026-10-29T00:09:28Z</dcterms:created>
  <dc:creator>openpyxl</dc:creator>
  <dc:description/>
  <dc:language>en-US</dc:language>
  <cp:lastModifiedBy/>
  <dcterms:modified xsi:type="dcterms:W3CDTF">2026-10-29T01:57:51Z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